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 activeTab="4"/>
  </bookViews>
  <sheets>
    <sheet name="Data" sheetId="2" r:id="rId1"/>
    <sheet name="Dashboard" sheetId="1" r:id="rId2"/>
    <sheet name="Yearly Summary" sheetId="3" r:id="rId3"/>
    <sheet name="Category Summary" sheetId="4" r:id="rId4"/>
    <sheet name="Insights" sheetId="5" r:id="rId5"/>
  </sheets>
  <calcPr calcId="152511"/>
</workbook>
</file>

<file path=xl/calcChain.xml><?xml version="1.0" encoding="utf-8"?>
<calcChain xmlns="http://schemas.openxmlformats.org/spreadsheetml/2006/main">
  <c r="F14" i="4" l="1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L2705" i="2"/>
  <c r="M2705" i="2" s="1"/>
  <c r="L2704" i="2"/>
  <c r="M2704" i="2" s="1"/>
  <c r="L2703" i="2"/>
  <c r="M2703" i="2" s="1"/>
  <c r="L2702" i="2"/>
  <c r="M2702" i="2" s="1"/>
  <c r="L2701" i="2"/>
  <c r="M2701" i="2" s="1"/>
  <c r="M2700" i="2"/>
  <c r="L2700" i="2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M2692" i="2"/>
  <c r="L2692" i="2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M2684" i="2"/>
  <c r="L2684" i="2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M2676" i="2"/>
  <c r="L2676" i="2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M2668" i="2"/>
  <c r="L2668" i="2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M2660" i="2"/>
  <c r="L2660" i="2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M2652" i="2"/>
  <c r="L2652" i="2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M2644" i="2"/>
  <c r="L2644" i="2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M2636" i="2"/>
  <c r="L2636" i="2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M2628" i="2"/>
  <c r="L2628" i="2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M2620" i="2"/>
  <c r="L2620" i="2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M2612" i="2"/>
  <c r="L2612" i="2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M2604" i="2"/>
  <c r="L2604" i="2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M2596" i="2"/>
  <c r="L2596" i="2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M2588" i="2"/>
  <c r="L2588" i="2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M2580" i="2"/>
  <c r="L2580" i="2"/>
  <c r="L2579" i="2"/>
  <c r="M2579" i="2" s="1"/>
  <c r="L2578" i="2"/>
  <c r="M2578" i="2" s="1"/>
  <c r="L2577" i="2"/>
  <c r="M2577" i="2" s="1"/>
  <c r="L2576" i="2"/>
  <c r="M2576" i="2" s="1"/>
  <c r="M2575" i="2"/>
  <c r="L2575" i="2"/>
  <c r="L2574" i="2"/>
  <c r="M2574" i="2" s="1"/>
  <c r="M2573" i="2"/>
  <c r="L2573" i="2"/>
  <c r="L2572" i="2"/>
  <c r="M2572" i="2" s="1"/>
  <c r="M2571" i="2"/>
  <c r="L2571" i="2"/>
  <c r="L2570" i="2"/>
  <c r="M2570" i="2" s="1"/>
  <c r="M2569" i="2"/>
  <c r="L2569" i="2"/>
  <c r="L2568" i="2"/>
  <c r="M2568" i="2" s="1"/>
  <c r="M2567" i="2"/>
  <c r="L2567" i="2"/>
  <c r="L2566" i="2"/>
  <c r="M2566" i="2" s="1"/>
  <c r="M2565" i="2"/>
  <c r="L2565" i="2"/>
  <c r="L2564" i="2"/>
  <c r="M2564" i="2" s="1"/>
  <c r="M2563" i="2"/>
  <c r="L2563" i="2"/>
  <c r="L2562" i="2"/>
  <c r="M2562" i="2" s="1"/>
  <c r="M2561" i="2"/>
  <c r="L2561" i="2"/>
  <c r="L2560" i="2"/>
  <c r="M2560" i="2" s="1"/>
  <c r="M2559" i="2"/>
  <c r="L2559" i="2"/>
  <c r="L2558" i="2"/>
  <c r="M2558" i="2" s="1"/>
  <c r="M2557" i="2"/>
  <c r="L2557" i="2"/>
  <c r="L2556" i="2"/>
  <c r="M2556" i="2" s="1"/>
  <c r="M2555" i="2"/>
  <c r="L2555" i="2"/>
  <c r="L2554" i="2"/>
  <c r="M2554" i="2" s="1"/>
  <c r="M2553" i="2"/>
  <c r="L2553" i="2"/>
  <c r="L2552" i="2"/>
  <c r="M2552" i="2" s="1"/>
  <c r="M2551" i="2"/>
  <c r="L2551" i="2"/>
  <c r="L2550" i="2"/>
  <c r="M2550" i="2" s="1"/>
  <c r="M2549" i="2"/>
  <c r="L2549" i="2"/>
  <c r="L2548" i="2"/>
  <c r="M2548" i="2" s="1"/>
  <c r="M2547" i="2"/>
  <c r="L2547" i="2"/>
  <c r="L2546" i="2"/>
  <c r="M2546" i="2" s="1"/>
  <c r="M2545" i="2"/>
  <c r="L2545" i="2"/>
  <c r="L2544" i="2"/>
  <c r="M2544" i="2" s="1"/>
  <c r="M2543" i="2"/>
  <c r="L2543" i="2"/>
  <c r="L2542" i="2"/>
  <c r="M2542" i="2" s="1"/>
  <c r="M2541" i="2"/>
  <c r="L2541" i="2"/>
  <c r="L2540" i="2"/>
  <c r="M2540" i="2" s="1"/>
  <c r="M2539" i="2"/>
  <c r="L2539" i="2"/>
  <c r="L2538" i="2"/>
  <c r="M2538" i="2" s="1"/>
  <c r="M2537" i="2"/>
  <c r="L2537" i="2"/>
  <c r="L2536" i="2"/>
  <c r="M2536" i="2" s="1"/>
  <c r="M2535" i="2"/>
  <c r="L2535" i="2"/>
  <c r="L2534" i="2"/>
  <c r="M2534" i="2" s="1"/>
  <c r="M2533" i="2"/>
  <c r="L2533" i="2"/>
  <c r="L2532" i="2"/>
  <c r="M2532" i="2" s="1"/>
  <c r="M2531" i="2"/>
  <c r="L2531" i="2"/>
  <c r="L2530" i="2"/>
  <c r="M2530" i="2" s="1"/>
  <c r="M2529" i="2"/>
  <c r="L2529" i="2"/>
  <c r="L2528" i="2"/>
  <c r="M2528" i="2" s="1"/>
  <c r="M2527" i="2"/>
  <c r="L2527" i="2"/>
  <c r="L2526" i="2"/>
  <c r="M2526" i="2" s="1"/>
  <c r="M2525" i="2"/>
  <c r="L2525" i="2"/>
  <c r="L2524" i="2"/>
  <c r="M2524" i="2" s="1"/>
  <c r="M2523" i="2"/>
  <c r="L2523" i="2"/>
  <c r="L2522" i="2"/>
  <c r="M2522" i="2" s="1"/>
  <c r="M2521" i="2"/>
  <c r="L2521" i="2"/>
  <c r="L2520" i="2"/>
  <c r="M2520" i="2" s="1"/>
  <c r="M2519" i="2"/>
  <c r="L2519" i="2"/>
  <c r="L2518" i="2"/>
  <c r="M2518" i="2" s="1"/>
  <c r="M2517" i="2"/>
  <c r="L2517" i="2"/>
  <c r="L2516" i="2"/>
  <c r="M2516" i="2" s="1"/>
  <c r="M2515" i="2"/>
  <c r="L2515" i="2"/>
  <c r="L2514" i="2"/>
  <c r="M2514" i="2" s="1"/>
  <c r="M2513" i="2"/>
  <c r="L2513" i="2"/>
  <c r="L2512" i="2"/>
  <c r="M2512" i="2" s="1"/>
  <c r="M2511" i="2"/>
  <c r="L2511" i="2"/>
  <c r="L2510" i="2"/>
  <c r="M2510" i="2" s="1"/>
  <c r="M2509" i="2"/>
  <c r="L2509" i="2"/>
  <c r="L2508" i="2"/>
  <c r="M2508" i="2" s="1"/>
  <c r="M2507" i="2"/>
  <c r="L2507" i="2"/>
  <c r="L2506" i="2"/>
  <c r="M2506" i="2" s="1"/>
  <c r="M2505" i="2"/>
  <c r="L2505" i="2"/>
  <c r="L2504" i="2"/>
  <c r="M2504" i="2" s="1"/>
  <c r="M2503" i="2"/>
  <c r="L2503" i="2"/>
  <c r="L2502" i="2"/>
  <c r="M2502" i="2" s="1"/>
  <c r="M2501" i="2"/>
  <c r="L2501" i="2"/>
  <c r="L2500" i="2"/>
  <c r="M2500" i="2" s="1"/>
  <c r="M2499" i="2"/>
  <c r="L2499" i="2"/>
  <c r="L2498" i="2"/>
  <c r="M2498" i="2" s="1"/>
  <c r="M2497" i="2"/>
  <c r="L2497" i="2"/>
  <c r="L2496" i="2"/>
  <c r="M2496" i="2" s="1"/>
  <c r="M2495" i="2"/>
  <c r="L2495" i="2"/>
  <c r="L2494" i="2"/>
  <c r="M2494" i="2" s="1"/>
  <c r="M2493" i="2"/>
  <c r="L2493" i="2"/>
  <c r="L2492" i="2"/>
  <c r="M2492" i="2" s="1"/>
  <c r="M2491" i="2"/>
  <c r="L2491" i="2"/>
  <c r="L2490" i="2"/>
  <c r="M2490" i="2" s="1"/>
  <c r="M2489" i="2"/>
  <c r="L2489" i="2"/>
  <c r="L2488" i="2"/>
  <c r="M2488" i="2" s="1"/>
  <c r="M2487" i="2"/>
  <c r="L2487" i="2"/>
  <c r="L2486" i="2"/>
  <c r="M2486" i="2" s="1"/>
  <c r="M2485" i="2"/>
  <c r="L2485" i="2"/>
  <c r="L2484" i="2"/>
  <c r="M2484" i="2" s="1"/>
  <c r="M2483" i="2"/>
  <c r="L2483" i="2"/>
  <c r="L2482" i="2"/>
  <c r="M2482" i="2" s="1"/>
  <c r="M2481" i="2"/>
  <c r="L2481" i="2"/>
  <c r="L2480" i="2"/>
  <c r="M2480" i="2" s="1"/>
  <c r="M2479" i="2"/>
  <c r="L2479" i="2"/>
  <c r="L2478" i="2"/>
  <c r="M2478" i="2" s="1"/>
  <c r="M2477" i="2"/>
  <c r="L2477" i="2"/>
  <c r="L2476" i="2"/>
  <c r="M2476" i="2" s="1"/>
  <c r="M2475" i="2"/>
  <c r="L2475" i="2"/>
  <c r="L2474" i="2"/>
  <c r="M2474" i="2" s="1"/>
  <c r="M2473" i="2"/>
  <c r="L2473" i="2"/>
  <c r="L2472" i="2"/>
  <c r="M2472" i="2" s="1"/>
  <c r="M2471" i="2"/>
  <c r="L2471" i="2"/>
  <c r="L2470" i="2"/>
  <c r="M2470" i="2" s="1"/>
  <c r="M2469" i="2"/>
  <c r="L2469" i="2"/>
  <c r="L2468" i="2"/>
  <c r="M2468" i="2" s="1"/>
  <c r="M2467" i="2"/>
  <c r="L2467" i="2"/>
  <c r="L2466" i="2"/>
  <c r="M2466" i="2" s="1"/>
  <c r="M2465" i="2"/>
  <c r="L2465" i="2"/>
  <c r="L2464" i="2"/>
  <c r="M2464" i="2" s="1"/>
  <c r="M2463" i="2"/>
  <c r="L2463" i="2"/>
  <c r="L2462" i="2"/>
  <c r="M2462" i="2" s="1"/>
  <c r="M2461" i="2"/>
  <c r="L2461" i="2"/>
  <c r="L2460" i="2"/>
  <c r="M2460" i="2" s="1"/>
  <c r="M2459" i="2"/>
  <c r="L2459" i="2"/>
  <c r="L2458" i="2"/>
  <c r="M2458" i="2" s="1"/>
  <c r="M2457" i="2"/>
  <c r="L2457" i="2"/>
  <c r="L2456" i="2"/>
  <c r="M2456" i="2" s="1"/>
  <c r="M2455" i="2"/>
  <c r="L2455" i="2"/>
  <c r="L2454" i="2"/>
  <c r="M2454" i="2" s="1"/>
  <c r="M2453" i="2"/>
  <c r="L2453" i="2"/>
  <c r="M2452" i="2"/>
  <c r="L2452" i="2"/>
  <c r="M2451" i="2"/>
  <c r="L2451" i="2"/>
  <c r="M2450" i="2"/>
  <c r="L2450" i="2"/>
  <c r="M2449" i="2"/>
  <c r="L2449" i="2"/>
  <c r="M2448" i="2"/>
  <c r="L2448" i="2"/>
  <c r="M2447" i="2"/>
  <c r="L2447" i="2"/>
  <c r="M2446" i="2"/>
  <c r="L2446" i="2"/>
  <c r="M2445" i="2"/>
  <c r="L2445" i="2"/>
  <c r="M2444" i="2"/>
  <c r="L2444" i="2"/>
  <c r="M2443" i="2"/>
  <c r="L2443" i="2"/>
  <c r="M2442" i="2"/>
  <c r="L2442" i="2"/>
  <c r="M2441" i="2"/>
  <c r="L2441" i="2"/>
  <c r="M2440" i="2"/>
  <c r="L2440" i="2"/>
  <c r="M2439" i="2"/>
  <c r="L2439" i="2"/>
  <c r="M2438" i="2"/>
  <c r="L2438" i="2"/>
  <c r="M2437" i="2"/>
  <c r="L2437" i="2"/>
  <c r="M2436" i="2"/>
  <c r="L2436" i="2"/>
  <c r="M2435" i="2"/>
  <c r="L2435" i="2"/>
  <c r="M2434" i="2"/>
  <c r="L2434" i="2"/>
  <c r="M2433" i="2"/>
  <c r="L2433" i="2"/>
  <c r="M2432" i="2"/>
  <c r="L2432" i="2"/>
  <c r="M2431" i="2"/>
  <c r="L2431" i="2"/>
  <c r="M2430" i="2"/>
  <c r="L2430" i="2"/>
  <c r="M2429" i="2"/>
  <c r="L2429" i="2"/>
  <c r="M2428" i="2"/>
  <c r="L2428" i="2"/>
  <c r="M2427" i="2"/>
  <c r="L2427" i="2"/>
  <c r="M2426" i="2"/>
  <c r="L2426" i="2"/>
  <c r="M2425" i="2"/>
  <c r="L2425" i="2"/>
  <c r="M2424" i="2"/>
  <c r="L2424" i="2"/>
  <c r="M2423" i="2"/>
  <c r="L2423" i="2"/>
  <c r="M2422" i="2"/>
  <c r="L2422" i="2"/>
  <c r="M2421" i="2"/>
  <c r="L2421" i="2"/>
  <c r="M2420" i="2"/>
  <c r="L2420" i="2"/>
  <c r="M2419" i="2"/>
  <c r="L2419" i="2"/>
  <c r="M2418" i="2"/>
  <c r="L2418" i="2"/>
  <c r="M2417" i="2"/>
  <c r="L2417" i="2"/>
  <c r="M2416" i="2"/>
  <c r="L2416" i="2"/>
  <c r="M2415" i="2"/>
  <c r="L2415" i="2"/>
  <c r="M2414" i="2"/>
  <c r="L2414" i="2"/>
  <c r="M2413" i="2"/>
  <c r="L2413" i="2"/>
  <c r="M2412" i="2"/>
  <c r="L2412" i="2"/>
  <c r="M2411" i="2"/>
  <c r="L2411" i="2"/>
  <c r="M2410" i="2"/>
  <c r="L2410" i="2"/>
  <c r="M2409" i="2"/>
  <c r="L2409" i="2"/>
  <c r="M2408" i="2"/>
  <c r="L2408" i="2"/>
  <c r="M2407" i="2"/>
  <c r="L2407" i="2"/>
  <c r="M2406" i="2"/>
  <c r="L2406" i="2"/>
  <c r="M2405" i="2"/>
  <c r="L2405" i="2"/>
  <c r="M2404" i="2"/>
  <c r="L2404" i="2"/>
  <c r="M2403" i="2"/>
  <c r="L2403" i="2"/>
  <c r="M2402" i="2"/>
  <c r="L2402" i="2"/>
  <c r="M2401" i="2"/>
  <c r="L2401" i="2"/>
  <c r="M2400" i="2"/>
  <c r="L2400" i="2"/>
  <c r="M2399" i="2"/>
  <c r="L2399" i="2"/>
  <c r="M2398" i="2"/>
  <c r="L2398" i="2"/>
  <c r="M2397" i="2"/>
  <c r="L2397" i="2"/>
  <c r="M2396" i="2"/>
  <c r="L2396" i="2"/>
  <c r="M2395" i="2"/>
  <c r="L2395" i="2"/>
  <c r="M2394" i="2"/>
  <c r="L2394" i="2"/>
  <c r="M2393" i="2"/>
  <c r="L2393" i="2"/>
  <c r="M2392" i="2"/>
  <c r="L2392" i="2"/>
  <c r="M2391" i="2"/>
  <c r="L2391" i="2"/>
  <c r="M2390" i="2"/>
  <c r="L2390" i="2"/>
  <c r="M2389" i="2"/>
  <c r="L2389" i="2"/>
  <c r="M2388" i="2"/>
  <c r="L2388" i="2"/>
  <c r="M2387" i="2"/>
  <c r="L2387" i="2"/>
  <c r="M2386" i="2"/>
  <c r="L2386" i="2"/>
  <c r="M2385" i="2"/>
  <c r="L2385" i="2"/>
  <c r="M2384" i="2"/>
  <c r="L2384" i="2"/>
  <c r="M2383" i="2"/>
  <c r="L2383" i="2"/>
  <c r="M2382" i="2"/>
  <c r="L2382" i="2"/>
  <c r="M2381" i="2"/>
  <c r="L2381" i="2"/>
  <c r="M2380" i="2"/>
  <c r="L2380" i="2"/>
  <c r="M2379" i="2"/>
  <c r="L2379" i="2"/>
  <c r="M2378" i="2"/>
  <c r="L2378" i="2"/>
  <c r="M2377" i="2"/>
  <c r="L2377" i="2"/>
  <c r="M2376" i="2"/>
  <c r="L2376" i="2"/>
  <c r="M2375" i="2"/>
  <c r="L2375" i="2"/>
  <c r="M2374" i="2"/>
  <c r="L2374" i="2"/>
  <c r="M2373" i="2"/>
  <c r="L2373" i="2"/>
  <c r="M2372" i="2"/>
  <c r="L2372" i="2"/>
  <c r="M2371" i="2"/>
  <c r="L2371" i="2"/>
  <c r="M2370" i="2"/>
  <c r="L2370" i="2"/>
  <c r="M2369" i="2"/>
  <c r="L2369" i="2"/>
  <c r="M2368" i="2"/>
  <c r="L2368" i="2"/>
  <c r="M2367" i="2"/>
  <c r="L2367" i="2"/>
  <c r="M2366" i="2"/>
  <c r="L2366" i="2"/>
  <c r="M2365" i="2"/>
  <c r="L2365" i="2"/>
  <c r="M2364" i="2"/>
  <c r="L2364" i="2"/>
  <c r="M2363" i="2"/>
  <c r="L2363" i="2"/>
  <c r="M2362" i="2"/>
  <c r="L2362" i="2"/>
  <c r="M2361" i="2"/>
  <c r="L2361" i="2"/>
  <c r="M2360" i="2"/>
  <c r="L2360" i="2"/>
  <c r="M2359" i="2"/>
  <c r="L2359" i="2"/>
  <c r="M2358" i="2"/>
  <c r="L2358" i="2"/>
  <c r="M2357" i="2"/>
  <c r="L2357" i="2"/>
  <c r="M2356" i="2"/>
  <c r="L2356" i="2"/>
  <c r="M2355" i="2"/>
  <c r="L2355" i="2"/>
  <c r="M2354" i="2"/>
  <c r="L2354" i="2"/>
  <c r="M2353" i="2"/>
  <c r="L2353" i="2"/>
  <c r="M2352" i="2"/>
  <c r="L2352" i="2"/>
  <c r="M2351" i="2"/>
  <c r="L2351" i="2"/>
  <c r="M2350" i="2"/>
  <c r="L2350" i="2"/>
  <c r="M2349" i="2"/>
  <c r="L2349" i="2"/>
  <c r="M2348" i="2"/>
  <c r="L2348" i="2"/>
  <c r="M2347" i="2"/>
  <c r="L2347" i="2"/>
  <c r="M2346" i="2"/>
  <c r="L2346" i="2"/>
  <c r="M2345" i="2"/>
  <c r="L2345" i="2"/>
  <c r="M2344" i="2"/>
  <c r="L2344" i="2"/>
  <c r="M2343" i="2"/>
  <c r="L2343" i="2"/>
  <c r="M2342" i="2"/>
  <c r="L2342" i="2"/>
  <c r="M2341" i="2"/>
  <c r="L2341" i="2"/>
  <c r="M2340" i="2"/>
  <c r="L2340" i="2"/>
  <c r="M2339" i="2"/>
  <c r="L2339" i="2"/>
  <c r="M2338" i="2"/>
  <c r="L2338" i="2"/>
  <c r="M2337" i="2"/>
  <c r="L2337" i="2"/>
  <c r="M2336" i="2"/>
  <c r="L2336" i="2"/>
  <c r="M2335" i="2"/>
  <c r="L2335" i="2"/>
  <c r="M2334" i="2"/>
  <c r="L2334" i="2"/>
  <c r="M2333" i="2"/>
  <c r="L2333" i="2"/>
  <c r="M2332" i="2"/>
  <c r="L2332" i="2"/>
  <c r="M2331" i="2"/>
  <c r="L2331" i="2"/>
  <c r="M2330" i="2"/>
  <c r="L2330" i="2"/>
  <c r="M2329" i="2"/>
  <c r="L2329" i="2"/>
  <c r="M2328" i="2"/>
  <c r="L2328" i="2"/>
  <c r="M2327" i="2"/>
  <c r="L2327" i="2"/>
  <c r="M2326" i="2"/>
  <c r="L2326" i="2"/>
  <c r="M2325" i="2"/>
  <c r="L2325" i="2"/>
  <c r="M2324" i="2"/>
  <c r="L2324" i="2"/>
  <c r="M2323" i="2"/>
  <c r="L2323" i="2"/>
  <c r="M2322" i="2"/>
  <c r="L2322" i="2"/>
  <c r="M2321" i="2"/>
  <c r="L2321" i="2"/>
  <c r="M2320" i="2"/>
  <c r="L2320" i="2"/>
  <c r="M2319" i="2"/>
  <c r="L2319" i="2"/>
  <c r="M2318" i="2"/>
  <c r="L2318" i="2"/>
  <c r="M2317" i="2"/>
  <c r="L2317" i="2"/>
  <c r="M2316" i="2"/>
  <c r="L2316" i="2"/>
  <c r="M2315" i="2"/>
  <c r="L2315" i="2"/>
  <c r="M2314" i="2"/>
  <c r="L2314" i="2"/>
  <c r="M2313" i="2"/>
  <c r="L2313" i="2"/>
  <c r="M2312" i="2"/>
  <c r="L2312" i="2"/>
  <c r="M2311" i="2"/>
  <c r="L2311" i="2"/>
  <c r="M2310" i="2"/>
  <c r="L2310" i="2"/>
  <c r="M2309" i="2"/>
  <c r="L2309" i="2"/>
  <c r="M2308" i="2"/>
  <c r="L2308" i="2"/>
  <c r="M2307" i="2"/>
  <c r="L2307" i="2"/>
  <c r="M2306" i="2"/>
  <c r="L2306" i="2"/>
  <c r="M2305" i="2"/>
  <c r="L2305" i="2"/>
  <c r="M2304" i="2"/>
  <c r="L2304" i="2"/>
  <c r="M2303" i="2"/>
  <c r="L2303" i="2"/>
  <c r="M2302" i="2"/>
  <c r="L2302" i="2"/>
  <c r="M2301" i="2"/>
  <c r="L2301" i="2"/>
  <c r="M2300" i="2"/>
  <c r="L2300" i="2"/>
  <c r="M2299" i="2"/>
  <c r="L2299" i="2"/>
  <c r="M2298" i="2"/>
  <c r="L2298" i="2"/>
  <c r="M2297" i="2"/>
  <c r="L2297" i="2"/>
  <c r="M2296" i="2"/>
  <c r="L2296" i="2"/>
  <c r="M2295" i="2"/>
  <c r="L2295" i="2"/>
  <c r="M2294" i="2"/>
  <c r="L2294" i="2"/>
  <c r="M2293" i="2"/>
  <c r="L2293" i="2"/>
  <c r="M2292" i="2"/>
  <c r="L2292" i="2"/>
  <c r="M2291" i="2"/>
  <c r="L2291" i="2"/>
  <c r="M2290" i="2"/>
  <c r="L2290" i="2"/>
  <c r="M2289" i="2"/>
  <c r="L2289" i="2"/>
  <c r="M2288" i="2"/>
  <c r="L2288" i="2"/>
  <c r="M2287" i="2"/>
  <c r="L2287" i="2"/>
  <c r="M2286" i="2"/>
  <c r="L2286" i="2"/>
  <c r="M2285" i="2"/>
  <c r="L2285" i="2"/>
  <c r="M2284" i="2"/>
  <c r="L2284" i="2"/>
  <c r="M2283" i="2"/>
  <c r="L2283" i="2"/>
  <c r="M2282" i="2"/>
  <c r="L2282" i="2"/>
  <c r="M2281" i="2"/>
  <c r="L2281" i="2"/>
  <c r="M2280" i="2"/>
  <c r="L2280" i="2"/>
  <c r="M2279" i="2"/>
  <c r="L2279" i="2"/>
  <c r="M2278" i="2"/>
  <c r="L2278" i="2"/>
  <c r="M2277" i="2"/>
  <c r="L2277" i="2"/>
  <c r="M2276" i="2"/>
  <c r="L2276" i="2"/>
  <c r="M2275" i="2"/>
  <c r="L2275" i="2"/>
  <c r="M2274" i="2"/>
  <c r="L2274" i="2"/>
  <c r="M2273" i="2"/>
  <c r="L2273" i="2"/>
  <c r="M2272" i="2"/>
  <c r="L2272" i="2"/>
  <c r="M2271" i="2"/>
  <c r="L2271" i="2"/>
  <c r="M2270" i="2"/>
  <c r="L2270" i="2"/>
  <c r="M2269" i="2"/>
  <c r="L2269" i="2"/>
  <c r="M2268" i="2"/>
  <c r="L2268" i="2"/>
  <c r="M2267" i="2"/>
  <c r="L2267" i="2"/>
  <c r="M2266" i="2"/>
  <c r="L2266" i="2"/>
  <c r="M2265" i="2"/>
  <c r="L2265" i="2"/>
  <c r="M2264" i="2"/>
  <c r="L2264" i="2"/>
  <c r="M2263" i="2"/>
  <c r="L2263" i="2"/>
  <c r="M2262" i="2"/>
  <c r="L2262" i="2"/>
  <c r="M2261" i="2"/>
  <c r="L2261" i="2"/>
  <c r="M2260" i="2"/>
  <c r="L2260" i="2"/>
  <c r="M2259" i="2"/>
  <c r="L2259" i="2"/>
  <c r="M2258" i="2"/>
  <c r="L2258" i="2"/>
  <c r="M2257" i="2"/>
  <c r="L2257" i="2"/>
  <c r="M2256" i="2"/>
  <c r="L2256" i="2"/>
  <c r="M2255" i="2"/>
  <c r="L2255" i="2"/>
  <c r="M2254" i="2"/>
  <c r="L2254" i="2"/>
  <c r="M2253" i="2"/>
  <c r="L2253" i="2"/>
  <c r="M2252" i="2"/>
  <c r="L2252" i="2"/>
  <c r="M2251" i="2"/>
  <c r="L2251" i="2"/>
  <c r="M2250" i="2"/>
  <c r="L2250" i="2"/>
  <c r="M2249" i="2"/>
  <c r="L2249" i="2"/>
  <c r="M2248" i="2"/>
  <c r="L2248" i="2"/>
  <c r="M2247" i="2"/>
  <c r="L2247" i="2"/>
  <c r="M2246" i="2"/>
  <c r="L2246" i="2"/>
  <c r="M2245" i="2"/>
  <c r="L2245" i="2"/>
  <c r="M2244" i="2"/>
  <c r="L2244" i="2"/>
  <c r="M2243" i="2"/>
  <c r="L2243" i="2"/>
  <c r="M2242" i="2"/>
  <c r="L2242" i="2"/>
  <c r="M2241" i="2"/>
  <c r="L2241" i="2"/>
  <c r="M2240" i="2"/>
  <c r="L2240" i="2"/>
  <c r="M2239" i="2"/>
  <c r="L2239" i="2"/>
  <c r="M2238" i="2"/>
  <c r="L2238" i="2"/>
  <c r="M2237" i="2"/>
  <c r="L2237" i="2"/>
  <c r="M2236" i="2"/>
  <c r="L2236" i="2"/>
  <c r="M2235" i="2"/>
  <c r="L2235" i="2"/>
  <c r="M2234" i="2"/>
  <c r="L2234" i="2"/>
  <c r="M2233" i="2"/>
  <c r="L2233" i="2"/>
  <c r="M2232" i="2"/>
  <c r="L2232" i="2"/>
  <c r="M2231" i="2"/>
  <c r="L2231" i="2"/>
  <c r="M2230" i="2"/>
  <c r="L2230" i="2"/>
  <c r="M2229" i="2"/>
  <c r="L2229" i="2"/>
  <c r="M2228" i="2"/>
  <c r="L2228" i="2"/>
  <c r="M2227" i="2"/>
  <c r="L2227" i="2"/>
  <c r="M2226" i="2"/>
  <c r="L2226" i="2"/>
  <c r="M2225" i="2"/>
  <c r="L2225" i="2"/>
  <c r="M2224" i="2"/>
  <c r="L2224" i="2"/>
  <c r="M2223" i="2"/>
  <c r="L2223" i="2"/>
  <c r="M2222" i="2"/>
  <c r="L2222" i="2"/>
  <c r="M2221" i="2"/>
  <c r="L2221" i="2"/>
  <c r="M2220" i="2"/>
  <c r="L2220" i="2"/>
  <c r="M2219" i="2"/>
  <c r="L2219" i="2"/>
  <c r="M2218" i="2"/>
  <c r="L2218" i="2"/>
  <c r="M2217" i="2"/>
  <c r="L2217" i="2"/>
  <c r="M2216" i="2"/>
  <c r="L2216" i="2"/>
  <c r="M2215" i="2"/>
  <c r="L2215" i="2"/>
  <c r="M2214" i="2"/>
  <c r="L2214" i="2"/>
  <c r="M2213" i="2"/>
  <c r="L2213" i="2"/>
  <c r="M2212" i="2"/>
  <c r="L2212" i="2"/>
  <c r="M2211" i="2"/>
  <c r="L2211" i="2"/>
  <c r="M2210" i="2"/>
  <c r="L2210" i="2"/>
  <c r="M2209" i="2"/>
  <c r="L2209" i="2"/>
  <c r="M2208" i="2"/>
  <c r="L2208" i="2"/>
  <c r="M2207" i="2"/>
  <c r="L2207" i="2"/>
  <c r="M2206" i="2"/>
  <c r="L2206" i="2"/>
  <c r="M2205" i="2"/>
  <c r="L2205" i="2"/>
  <c r="M2204" i="2"/>
  <c r="L2204" i="2"/>
  <c r="M2203" i="2"/>
  <c r="L2203" i="2"/>
  <c r="M2202" i="2"/>
  <c r="L2202" i="2"/>
  <c r="M2201" i="2"/>
  <c r="L2201" i="2"/>
  <c r="M2200" i="2"/>
  <c r="L2200" i="2"/>
  <c r="M2199" i="2"/>
  <c r="L2199" i="2"/>
  <c r="M2198" i="2"/>
  <c r="L2198" i="2"/>
  <c r="M2197" i="2"/>
  <c r="L2197" i="2"/>
  <c r="M2196" i="2"/>
  <c r="L2196" i="2"/>
  <c r="M2195" i="2"/>
  <c r="L2195" i="2"/>
  <c r="M2194" i="2"/>
  <c r="L2194" i="2"/>
  <c r="M2193" i="2"/>
  <c r="L2193" i="2"/>
  <c r="M2192" i="2"/>
  <c r="L2192" i="2"/>
  <c r="M2191" i="2"/>
  <c r="L2191" i="2"/>
  <c r="M2190" i="2"/>
  <c r="L2190" i="2"/>
  <c r="M2189" i="2"/>
  <c r="L2189" i="2"/>
  <c r="M2188" i="2"/>
  <c r="L2188" i="2"/>
  <c r="M2187" i="2"/>
  <c r="L2187" i="2"/>
  <c r="M2186" i="2"/>
  <c r="L2186" i="2"/>
  <c r="M2185" i="2"/>
  <c r="L2185" i="2"/>
  <c r="M2184" i="2"/>
  <c r="L2184" i="2"/>
  <c r="M2183" i="2"/>
  <c r="L2183" i="2"/>
  <c r="M2182" i="2"/>
  <c r="L2182" i="2"/>
  <c r="M2181" i="2"/>
  <c r="L2181" i="2"/>
  <c r="M2180" i="2"/>
  <c r="L2180" i="2"/>
  <c r="M2179" i="2"/>
  <c r="L2179" i="2"/>
  <c r="M2178" i="2"/>
  <c r="L2178" i="2"/>
  <c r="M2177" i="2"/>
  <c r="L2177" i="2"/>
  <c r="M2176" i="2"/>
  <c r="L2176" i="2"/>
  <c r="M2175" i="2"/>
  <c r="L2175" i="2"/>
  <c r="M2174" i="2"/>
  <c r="L2174" i="2"/>
  <c r="M2173" i="2"/>
  <c r="L2173" i="2"/>
  <c r="M2172" i="2"/>
  <c r="L2172" i="2"/>
  <c r="M2171" i="2"/>
  <c r="L2171" i="2"/>
  <c r="M2170" i="2"/>
  <c r="L2170" i="2"/>
  <c r="M2169" i="2"/>
  <c r="L2169" i="2"/>
  <c r="M2168" i="2"/>
  <c r="L2168" i="2"/>
  <c r="M2167" i="2"/>
  <c r="L2167" i="2"/>
  <c r="M2166" i="2"/>
  <c r="L2166" i="2"/>
  <c r="M2165" i="2"/>
  <c r="L2165" i="2"/>
  <c r="M2164" i="2"/>
  <c r="L2164" i="2"/>
  <c r="M2163" i="2"/>
  <c r="L2163" i="2"/>
  <c r="M2162" i="2"/>
  <c r="L2162" i="2"/>
  <c r="M2161" i="2"/>
  <c r="L2161" i="2"/>
  <c r="M2160" i="2"/>
  <c r="L2160" i="2"/>
  <c r="M2159" i="2"/>
  <c r="L2159" i="2"/>
  <c r="M2158" i="2"/>
  <c r="L2158" i="2"/>
  <c r="M2157" i="2"/>
  <c r="L2157" i="2"/>
  <c r="M2156" i="2"/>
  <c r="L2156" i="2"/>
  <c r="M2155" i="2"/>
  <c r="L2155" i="2"/>
  <c r="M2154" i="2"/>
  <c r="L2154" i="2"/>
  <c r="M2153" i="2"/>
  <c r="L2153" i="2"/>
  <c r="M2152" i="2"/>
  <c r="L2152" i="2"/>
  <c r="M2151" i="2"/>
  <c r="L2151" i="2"/>
  <c r="M2150" i="2"/>
  <c r="L2150" i="2"/>
  <c r="M2149" i="2"/>
  <c r="L2149" i="2"/>
  <c r="M2148" i="2"/>
  <c r="L2148" i="2"/>
  <c r="M2147" i="2"/>
  <c r="L2147" i="2"/>
  <c r="M2146" i="2"/>
  <c r="L2146" i="2"/>
  <c r="M2145" i="2"/>
  <c r="L2145" i="2"/>
  <c r="M2144" i="2"/>
  <c r="L2144" i="2"/>
  <c r="M2143" i="2"/>
  <c r="L2143" i="2"/>
  <c r="M2142" i="2"/>
  <c r="L2142" i="2"/>
  <c r="M2141" i="2"/>
  <c r="L2141" i="2"/>
  <c r="M2140" i="2"/>
  <c r="L2140" i="2"/>
  <c r="M2139" i="2"/>
  <c r="L2139" i="2"/>
  <c r="M2138" i="2"/>
  <c r="L2138" i="2"/>
  <c r="M2137" i="2"/>
  <c r="L2137" i="2"/>
  <c r="M2136" i="2"/>
  <c r="L2136" i="2"/>
  <c r="M2135" i="2"/>
  <c r="L2135" i="2"/>
  <c r="M2134" i="2"/>
  <c r="L2134" i="2"/>
  <c r="M2133" i="2"/>
  <c r="L2133" i="2"/>
  <c r="M2132" i="2"/>
  <c r="L2132" i="2"/>
  <c r="M2131" i="2"/>
  <c r="L2131" i="2"/>
  <c r="M2130" i="2"/>
  <c r="L2130" i="2"/>
  <c r="M2129" i="2"/>
  <c r="L2129" i="2"/>
  <c r="M2128" i="2"/>
  <c r="L2128" i="2"/>
  <c r="M2127" i="2"/>
  <c r="L2127" i="2"/>
  <c r="M2126" i="2"/>
  <c r="L2126" i="2"/>
  <c r="M2125" i="2"/>
  <c r="L2125" i="2"/>
  <c r="M2124" i="2"/>
  <c r="L2124" i="2"/>
  <c r="M2123" i="2"/>
  <c r="L2123" i="2"/>
  <c r="M2122" i="2"/>
  <c r="L2122" i="2"/>
  <c r="M2121" i="2"/>
  <c r="L2121" i="2"/>
  <c r="M2120" i="2"/>
  <c r="L2120" i="2"/>
  <c r="M2119" i="2"/>
  <c r="L2119" i="2"/>
  <c r="M2118" i="2"/>
  <c r="L2118" i="2"/>
  <c r="M2117" i="2"/>
  <c r="L2117" i="2"/>
  <c r="M2116" i="2"/>
  <c r="L2116" i="2"/>
  <c r="M2115" i="2"/>
  <c r="L2115" i="2"/>
  <c r="M2114" i="2"/>
  <c r="L2114" i="2"/>
  <c r="M2113" i="2"/>
  <c r="L2113" i="2"/>
  <c r="M2112" i="2"/>
  <c r="L2112" i="2"/>
  <c r="M2111" i="2"/>
  <c r="L2111" i="2"/>
  <c r="M2110" i="2"/>
  <c r="L2110" i="2"/>
  <c r="M2109" i="2"/>
  <c r="L2109" i="2"/>
  <c r="M2108" i="2"/>
  <c r="L2108" i="2"/>
  <c r="M2107" i="2"/>
  <c r="L2107" i="2"/>
  <c r="M2106" i="2"/>
  <c r="L2106" i="2"/>
  <c r="M2105" i="2"/>
  <c r="L2105" i="2"/>
  <c r="M2104" i="2"/>
  <c r="L2104" i="2"/>
  <c r="M2103" i="2"/>
  <c r="L2103" i="2"/>
  <c r="M2102" i="2"/>
  <c r="L2102" i="2"/>
  <c r="M2101" i="2"/>
  <c r="L2101" i="2"/>
  <c r="M2100" i="2"/>
  <c r="L2100" i="2"/>
  <c r="M2099" i="2"/>
  <c r="L2099" i="2"/>
  <c r="M2098" i="2"/>
  <c r="L2098" i="2"/>
  <c r="M2097" i="2"/>
  <c r="L2097" i="2"/>
  <c r="M2096" i="2"/>
  <c r="L2096" i="2"/>
  <c r="M2095" i="2"/>
  <c r="L2095" i="2"/>
  <c r="M2094" i="2"/>
  <c r="L2094" i="2"/>
  <c r="M2093" i="2"/>
  <c r="L2093" i="2"/>
  <c r="M2092" i="2"/>
  <c r="L2092" i="2"/>
  <c r="M2091" i="2"/>
  <c r="L2091" i="2"/>
  <c r="M2090" i="2"/>
  <c r="L2090" i="2"/>
  <c r="M2089" i="2"/>
  <c r="L2089" i="2"/>
  <c r="M2088" i="2"/>
  <c r="L2088" i="2"/>
  <c r="M2087" i="2"/>
  <c r="L2087" i="2"/>
  <c r="M2086" i="2"/>
  <c r="L2086" i="2"/>
  <c r="M2085" i="2"/>
  <c r="L2085" i="2"/>
  <c r="M2084" i="2"/>
  <c r="L2084" i="2"/>
  <c r="M2083" i="2"/>
  <c r="L2083" i="2"/>
  <c r="M2082" i="2"/>
  <c r="L2082" i="2"/>
  <c r="M2081" i="2"/>
  <c r="L2081" i="2"/>
  <c r="M2080" i="2"/>
  <c r="L2080" i="2"/>
  <c r="M2079" i="2"/>
  <c r="L2079" i="2"/>
  <c r="M2078" i="2"/>
  <c r="L2078" i="2"/>
  <c r="M2077" i="2"/>
  <c r="L2077" i="2"/>
  <c r="M2076" i="2"/>
  <c r="L2076" i="2"/>
  <c r="M2075" i="2"/>
  <c r="L2075" i="2"/>
  <c r="M2074" i="2"/>
  <c r="L2074" i="2"/>
  <c r="M2073" i="2"/>
  <c r="L2073" i="2"/>
  <c r="M2072" i="2"/>
  <c r="L2072" i="2"/>
  <c r="M2071" i="2"/>
  <c r="L2071" i="2"/>
  <c r="M2070" i="2"/>
  <c r="L2070" i="2"/>
  <c r="M2069" i="2"/>
  <c r="L2069" i="2"/>
  <c r="M2068" i="2"/>
  <c r="L2068" i="2"/>
  <c r="M2067" i="2"/>
  <c r="L2067" i="2"/>
  <c r="M2066" i="2"/>
  <c r="L2066" i="2"/>
  <c r="M2065" i="2"/>
  <c r="L2065" i="2"/>
  <c r="M2064" i="2"/>
  <c r="L2064" i="2"/>
  <c r="M2063" i="2"/>
  <c r="L2063" i="2"/>
  <c r="M2062" i="2"/>
  <c r="L2062" i="2"/>
  <c r="M2061" i="2"/>
  <c r="L2061" i="2"/>
  <c r="M2060" i="2"/>
  <c r="L2060" i="2"/>
  <c r="M2059" i="2"/>
  <c r="L2059" i="2"/>
  <c r="M2058" i="2"/>
  <c r="L2058" i="2"/>
  <c r="M2057" i="2"/>
  <c r="L2057" i="2"/>
  <c r="M2056" i="2"/>
  <c r="L2056" i="2"/>
  <c r="M2055" i="2"/>
  <c r="L2055" i="2"/>
  <c r="M2054" i="2"/>
  <c r="L2054" i="2"/>
  <c r="M2053" i="2"/>
  <c r="L2053" i="2"/>
  <c r="M2052" i="2"/>
  <c r="L2052" i="2"/>
  <c r="M2051" i="2"/>
  <c r="L2051" i="2"/>
  <c r="M2050" i="2"/>
  <c r="L2050" i="2"/>
  <c r="M2049" i="2"/>
  <c r="L2049" i="2"/>
  <c r="M2048" i="2"/>
  <c r="L2048" i="2"/>
  <c r="M2047" i="2"/>
  <c r="L2047" i="2"/>
  <c r="M2046" i="2"/>
  <c r="L2046" i="2"/>
  <c r="M2045" i="2"/>
  <c r="L2045" i="2"/>
  <c r="M2044" i="2"/>
  <c r="L2044" i="2"/>
  <c r="M2043" i="2"/>
  <c r="L2043" i="2"/>
  <c r="M2042" i="2"/>
  <c r="L2042" i="2"/>
  <c r="M2041" i="2"/>
  <c r="L2041" i="2"/>
  <c r="M2040" i="2"/>
  <c r="L2040" i="2"/>
  <c r="M2039" i="2"/>
  <c r="L2039" i="2"/>
  <c r="M2038" i="2"/>
  <c r="L2038" i="2"/>
  <c r="M2037" i="2"/>
  <c r="L2037" i="2"/>
  <c r="M2036" i="2"/>
  <c r="L2036" i="2"/>
  <c r="M2035" i="2"/>
  <c r="L2035" i="2"/>
  <c r="M2034" i="2"/>
  <c r="L2034" i="2"/>
  <c r="M2033" i="2"/>
  <c r="L2033" i="2"/>
  <c r="M2032" i="2"/>
  <c r="L2032" i="2"/>
  <c r="M2031" i="2"/>
  <c r="L2031" i="2"/>
  <c r="M2030" i="2"/>
  <c r="L2030" i="2"/>
  <c r="M2029" i="2"/>
  <c r="L2029" i="2"/>
  <c r="M2028" i="2"/>
  <c r="L2028" i="2"/>
  <c r="M2027" i="2"/>
  <c r="L2027" i="2"/>
  <c r="M2026" i="2"/>
  <c r="L2026" i="2"/>
  <c r="M2025" i="2"/>
  <c r="L2025" i="2"/>
  <c r="M2024" i="2"/>
  <c r="L2024" i="2"/>
  <c r="M2023" i="2"/>
  <c r="L2023" i="2"/>
  <c r="M2022" i="2"/>
  <c r="L2022" i="2"/>
  <c r="M2021" i="2"/>
  <c r="L2021" i="2"/>
  <c r="M2020" i="2"/>
  <c r="L2020" i="2"/>
  <c r="M2019" i="2"/>
  <c r="L2019" i="2"/>
  <c r="M2018" i="2"/>
  <c r="L2018" i="2"/>
  <c r="M2017" i="2"/>
  <c r="L2017" i="2"/>
  <c r="M2016" i="2"/>
  <c r="L2016" i="2"/>
  <c r="M2015" i="2"/>
  <c r="L2015" i="2"/>
  <c r="M2014" i="2"/>
  <c r="L2014" i="2"/>
  <c r="M2013" i="2"/>
  <c r="L2013" i="2"/>
  <c r="M2012" i="2"/>
  <c r="L2012" i="2"/>
  <c r="M2011" i="2"/>
  <c r="L2011" i="2"/>
  <c r="M2010" i="2"/>
  <c r="L2010" i="2"/>
  <c r="M2009" i="2"/>
  <c r="L2009" i="2"/>
  <c r="M2008" i="2"/>
  <c r="L2008" i="2"/>
  <c r="M2007" i="2"/>
  <c r="L2007" i="2"/>
  <c r="M2006" i="2"/>
  <c r="L2006" i="2"/>
  <c r="M2005" i="2"/>
  <c r="L2005" i="2"/>
  <c r="M2004" i="2"/>
  <c r="L2004" i="2"/>
  <c r="M2003" i="2"/>
  <c r="L2003" i="2"/>
  <c r="M2002" i="2"/>
  <c r="L2002" i="2"/>
  <c r="M2001" i="2"/>
  <c r="L2001" i="2"/>
  <c r="M2000" i="2"/>
  <c r="L2000" i="2"/>
  <c r="M1999" i="2"/>
  <c r="L1999" i="2"/>
  <c r="M1998" i="2"/>
  <c r="L1998" i="2"/>
  <c r="M1997" i="2"/>
  <c r="L1997" i="2"/>
  <c r="M1996" i="2"/>
  <c r="L1996" i="2"/>
  <c r="M1995" i="2"/>
  <c r="L1995" i="2"/>
  <c r="M1994" i="2"/>
  <c r="L1994" i="2"/>
  <c r="M1993" i="2"/>
  <c r="L1993" i="2"/>
  <c r="M1992" i="2"/>
  <c r="L1992" i="2"/>
  <c r="M1991" i="2"/>
  <c r="L1991" i="2"/>
  <c r="M1990" i="2"/>
  <c r="L1990" i="2"/>
  <c r="M1989" i="2"/>
  <c r="L1989" i="2"/>
  <c r="M1988" i="2"/>
  <c r="L1988" i="2"/>
  <c r="M1987" i="2"/>
  <c r="L1987" i="2"/>
  <c r="M1986" i="2"/>
  <c r="L1986" i="2"/>
  <c r="M1985" i="2"/>
  <c r="L1985" i="2"/>
  <c r="M1984" i="2"/>
  <c r="L1984" i="2"/>
  <c r="M1983" i="2"/>
  <c r="L1983" i="2"/>
  <c r="M1982" i="2"/>
  <c r="L1982" i="2"/>
  <c r="M1981" i="2"/>
  <c r="L1981" i="2"/>
  <c r="M1980" i="2"/>
  <c r="L1980" i="2"/>
  <c r="M1979" i="2"/>
  <c r="L1979" i="2"/>
  <c r="M1978" i="2"/>
  <c r="L1978" i="2"/>
  <c r="M1977" i="2"/>
  <c r="L1977" i="2"/>
  <c r="M1976" i="2"/>
  <c r="L1976" i="2"/>
  <c r="M1975" i="2"/>
  <c r="L1975" i="2"/>
  <c r="M1974" i="2"/>
  <c r="L1974" i="2"/>
  <c r="M1973" i="2"/>
  <c r="L1973" i="2"/>
  <c r="M1972" i="2"/>
  <c r="L1972" i="2"/>
  <c r="M1971" i="2"/>
  <c r="L1971" i="2"/>
  <c r="M1970" i="2"/>
  <c r="L1970" i="2"/>
  <c r="M1969" i="2"/>
  <c r="L1969" i="2"/>
  <c r="M1968" i="2"/>
  <c r="L1968" i="2"/>
  <c r="M1967" i="2"/>
  <c r="L1967" i="2"/>
  <c r="M1966" i="2"/>
  <c r="L1966" i="2"/>
  <c r="M1965" i="2"/>
  <c r="L1965" i="2"/>
  <c r="M1964" i="2"/>
  <c r="L1964" i="2"/>
  <c r="M1963" i="2"/>
  <c r="L1963" i="2"/>
  <c r="M1962" i="2"/>
  <c r="L1962" i="2"/>
  <c r="M1961" i="2"/>
  <c r="L1961" i="2"/>
  <c r="M1960" i="2"/>
  <c r="L1960" i="2"/>
  <c r="M1959" i="2"/>
  <c r="L1959" i="2"/>
  <c r="M1958" i="2"/>
  <c r="L1958" i="2"/>
  <c r="M1957" i="2"/>
  <c r="L1957" i="2"/>
  <c r="M1956" i="2"/>
  <c r="L1956" i="2"/>
  <c r="M1955" i="2"/>
  <c r="L1955" i="2"/>
  <c r="M1954" i="2"/>
  <c r="L1954" i="2"/>
  <c r="M1953" i="2"/>
  <c r="L1953" i="2"/>
  <c r="M1952" i="2"/>
  <c r="L1952" i="2"/>
  <c r="M1951" i="2"/>
  <c r="L1951" i="2"/>
  <c r="M1950" i="2"/>
  <c r="L1950" i="2"/>
  <c r="M1949" i="2"/>
  <c r="L1949" i="2"/>
  <c r="M1948" i="2"/>
  <c r="L1948" i="2"/>
  <c r="M1947" i="2"/>
  <c r="L1947" i="2"/>
  <c r="M1946" i="2"/>
  <c r="L1946" i="2"/>
  <c r="M1945" i="2"/>
  <c r="L1945" i="2"/>
  <c r="M1944" i="2"/>
  <c r="L1944" i="2"/>
  <c r="M1943" i="2"/>
  <c r="L1943" i="2"/>
  <c r="M1942" i="2"/>
  <c r="L1942" i="2"/>
  <c r="M1941" i="2"/>
  <c r="L1941" i="2"/>
  <c r="M1940" i="2"/>
  <c r="L1940" i="2"/>
  <c r="M1939" i="2"/>
  <c r="L1939" i="2"/>
  <c r="M1938" i="2"/>
  <c r="L1938" i="2"/>
  <c r="M1937" i="2"/>
  <c r="L1937" i="2"/>
  <c r="M1936" i="2"/>
  <c r="L1936" i="2"/>
  <c r="M1935" i="2"/>
  <c r="L1935" i="2"/>
  <c r="M1934" i="2"/>
  <c r="L1934" i="2"/>
  <c r="M1933" i="2"/>
  <c r="L1933" i="2"/>
  <c r="M1932" i="2"/>
  <c r="L1932" i="2"/>
  <c r="M1931" i="2"/>
  <c r="L1931" i="2"/>
  <c r="M1930" i="2"/>
  <c r="L1930" i="2"/>
  <c r="M1929" i="2"/>
  <c r="L1929" i="2"/>
  <c r="M1928" i="2"/>
  <c r="L1928" i="2"/>
  <c r="M1927" i="2"/>
  <c r="L1927" i="2"/>
  <c r="M1926" i="2"/>
  <c r="L1926" i="2"/>
  <c r="M1925" i="2"/>
  <c r="L1925" i="2"/>
  <c r="M1924" i="2"/>
  <c r="L1924" i="2"/>
  <c r="M1923" i="2"/>
  <c r="L1923" i="2"/>
  <c r="M1922" i="2"/>
  <c r="L1922" i="2"/>
  <c r="M1921" i="2"/>
  <c r="L1921" i="2"/>
  <c r="M1920" i="2"/>
  <c r="L1920" i="2"/>
  <c r="M1919" i="2"/>
  <c r="L1919" i="2"/>
  <c r="M1918" i="2"/>
  <c r="L1918" i="2"/>
  <c r="M1917" i="2"/>
  <c r="L1917" i="2"/>
  <c r="M1916" i="2"/>
  <c r="L1916" i="2"/>
  <c r="M1915" i="2"/>
  <c r="L1915" i="2"/>
  <c r="M1914" i="2"/>
  <c r="L1914" i="2"/>
  <c r="M1913" i="2"/>
  <c r="L1913" i="2"/>
  <c r="M1912" i="2"/>
  <c r="L1912" i="2"/>
  <c r="M1911" i="2"/>
  <c r="L1911" i="2"/>
  <c r="M1910" i="2"/>
  <c r="L1910" i="2"/>
  <c r="M1909" i="2"/>
  <c r="L1909" i="2"/>
  <c r="M1908" i="2"/>
  <c r="L1908" i="2"/>
  <c r="M1907" i="2"/>
  <c r="L1907" i="2"/>
  <c r="M1906" i="2"/>
  <c r="L1906" i="2"/>
  <c r="M1905" i="2"/>
  <c r="L1905" i="2"/>
  <c r="M1904" i="2"/>
  <c r="L1904" i="2"/>
  <c r="M1903" i="2"/>
  <c r="L1903" i="2"/>
  <c r="M1902" i="2"/>
  <c r="L1902" i="2"/>
  <c r="L1901" i="2"/>
  <c r="M1901" i="2" s="1"/>
  <c r="M1900" i="2"/>
  <c r="L1900" i="2"/>
  <c r="L1899" i="2"/>
  <c r="M1899" i="2" s="1"/>
  <c r="M1898" i="2"/>
  <c r="L1898" i="2"/>
  <c r="L1897" i="2"/>
  <c r="M1897" i="2" s="1"/>
  <c r="M1896" i="2"/>
  <c r="L1896" i="2"/>
  <c r="L1895" i="2"/>
  <c r="M1895" i="2" s="1"/>
  <c r="M1894" i="2"/>
  <c r="L1894" i="2"/>
  <c r="L1893" i="2"/>
  <c r="M1893" i="2" s="1"/>
  <c r="M1892" i="2"/>
  <c r="L1892" i="2"/>
  <c r="L1891" i="2"/>
  <c r="M1891" i="2" s="1"/>
  <c r="M1890" i="2"/>
  <c r="L1890" i="2"/>
  <c r="L1889" i="2"/>
  <c r="M1889" i="2" s="1"/>
  <c r="M1888" i="2"/>
  <c r="L1888" i="2"/>
  <c r="L1887" i="2"/>
  <c r="M1887" i="2" s="1"/>
  <c r="M1886" i="2"/>
  <c r="L1886" i="2"/>
  <c r="L1885" i="2"/>
  <c r="M1885" i="2" s="1"/>
  <c r="M1884" i="2"/>
  <c r="L1884" i="2"/>
  <c r="L1883" i="2"/>
  <c r="M1883" i="2" s="1"/>
  <c r="M1882" i="2"/>
  <c r="L1882" i="2"/>
  <c r="L1881" i="2"/>
  <c r="M1881" i="2" s="1"/>
  <c r="M1880" i="2"/>
  <c r="L1880" i="2"/>
  <c r="L1879" i="2"/>
  <c r="M1879" i="2" s="1"/>
  <c r="M1878" i="2"/>
  <c r="L1878" i="2"/>
  <c r="L1877" i="2"/>
  <c r="M1877" i="2" s="1"/>
  <c r="M1876" i="2"/>
  <c r="L1876" i="2"/>
  <c r="L1875" i="2"/>
  <c r="M1875" i="2" s="1"/>
  <c r="M1874" i="2"/>
  <c r="L1874" i="2"/>
  <c r="L1873" i="2"/>
  <c r="M1873" i="2" s="1"/>
  <c r="M1872" i="2"/>
  <c r="L1872" i="2"/>
  <c r="L1871" i="2"/>
  <c r="M1871" i="2" s="1"/>
  <c r="M1870" i="2"/>
  <c r="L1870" i="2"/>
  <c r="L1869" i="2"/>
  <c r="M1869" i="2" s="1"/>
  <c r="M1868" i="2"/>
  <c r="L1868" i="2"/>
  <c r="L1867" i="2"/>
  <c r="M1867" i="2" s="1"/>
  <c r="M1866" i="2"/>
  <c r="L1866" i="2"/>
  <c r="L1865" i="2"/>
  <c r="M1865" i="2" s="1"/>
  <c r="M1864" i="2"/>
  <c r="L1864" i="2"/>
  <c r="L1863" i="2"/>
  <c r="M1863" i="2" s="1"/>
  <c r="M1862" i="2"/>
  <c r="L1862" i="2"/>
  <c r="L1861" i="2"/>
  <c r="M1861" i="2" s="1"/>
  <c r="M1860" i="2"/>
  <c r="L1860" i="2"/>
  <c r="L1859" i="2"/>
  <c r="M1859" i="2" s="1"/>
  <c r="M1858" i="2"/>
  <c r="L1858" i="2"/>
  <c r="L1857" i="2"/>
  <c r="M1857" i="2" s="1"/>
  <c r="M1856" i="2"/>
  <c r="L1856" i="2"/>
  <c r="L1855" i="2"/>
  <c r="M1855" i="2" s="1"/>
  <c r="M1854" i="2"/>
  <c r="L1854" i="2"/>
  <c r="L1853" i="2"/>
  <c r="M1853" i="2" s="1"/>
  <c r="M1852" i="2"/>
  <c r="L1852" i="2"/>
  <c r="L1851" i="2"/>
  <c r="M1851" i="2" s="1"/>
  <c r="M1850" i="2"/>
  <c r="L1850" i="2"/>
  <c r="L1849" i="2"/>
  <c r="M1849" i="2" s="1"/>
  <c r="M1848" i="2"/>
  <c r="L1848" i="2"/>
  <c r="L1847" i="2"/>
  <c r="M1847" i="2" s="1"/>
  <c r="M1846" i="2"/>
  <c r="L1846" i="2"/>
  <c r="L1845" i="2"/>
  <c r="M1845" i="2" s="1"/>
  <c r="M1844" i="2"/>
  <c r="L1844" i="2"/>
  <c r="L1843" i="2"/>
  <c r="M1843" i="2" s="1"/>
  <c r="M1842" i="2"/>
  <c r="L1842" i="2"/>
  <c r="L1841" i="2"/>
  <c r="M1841" i="2" s="1"/>
  <c r="M1840" i="2"/>
  <c r="L1840" i="2"/>
  <c r="L1839" i="2"/>
  <c r="M1839" i="2" s="1"/>
  <c r="M1838" i="2"/>
  <c r="L1838" i="2"/>
  <c r="L1837" i="2"/>
  <c r="M1837" i="2" s="1"/>
  <c r="M1836" i="2"/>
  <c r="L1836" i="2"/>
  <c r="L1835" i="2"/>
  <c r="M1835" i="2" s="1"/>
  <c r="M1834" i="2"/>
  <c r="L1834" i="2"/>
  <c r="L1833" i="2"/>
  <c r="M1833" i="2" s="1"/>
  <c r="M1832" i="2"/>
  <c r="L1832" i="2"/>
  <c r="L1831" i="2"/>
  <c r="M1831" i="2" s="1"/>
  <c r="M1830" i="2"/>
  <c r="L1830" i="2"/>
  <c r="L1829" i="2"/>
  <c r="M1829" i="2" s="1"/>
  <c r="M1828" i="2"/>
  <c r="L1828" i="2"/>
  <c r="L1827" i="2"/>
  <c r="M1827" i="2" s="1"/>
  <c r="M1826" i="2"/>
  <c r="L1826" i="2"/>
  <c r="L1825" i="2"/>
  <c r="M1825" i="2" s="1"/>
  <c r="M1824" i="2"/>
  <c r="L1824" i="2"/>
  <c r="L1823" i="2"/>
  <c r="M1823" i="2" s="1"/>
  <c r="M1822" i="2"/>
  <c r="L1822" i="2"/>
  <c r="L1821" i="2"/>
  <c r="M1821" i="2" s="1"/>
  <c r="M1820" i="2"/>
  <c r="L1820" i="2"/>
  <c r="L1819" i="2"/>
  <c r="M1819" i="2" s="1"/>
  <c r="M1818" i="2"/>
  <c r="L1818" i="2"/>
  <c r="L1817" i="2"/>
  <c r="M1817" i="2" s="1"/>
  <c r="M1816" i="2"/>
  <c r="L1816" i="2"/>
  <c r="L1815" i="2"/>
  <c r="M1815" i="2" s="1"/>
  <c r="M1814" i="2"/>
  <c r="L1814" i="2"/>
  <c r="L1813" i="2"/>
  <c r="M1813" i="2" s="1"/>
  <c r="M1812" i="2"/>
  <c r="L1812" i="2"/>
  <c r="L1811" i="2"/>
  <c r="M1811" i="2" s="1"/>
  <c r="M1810" i="2"/>
  <c r="L1810" i="2"/>
  <c r="L1809" i="2"/>
  <c r="M1809" i="2" s="1"/>
  <c r="M1808" i="2"/>
  <c r="L1808" i="2"/>
  <c r="L1807" i="2"/>
  <c r="M1807" i="2" s="1"/>
  <c r="M1806" i="2"/>
  <c r="L1806" i="2"/>
  <c r="L1805" i="2"/>
  <c r="M1805" i="2" s="1"/>
  <c r="M1804" i="2"/>
  <c r="L1804" i="2"/>
  <c r="L1803" i="2"/>
  <c r="M1803" i="2" s="1"/>
  <c r="M1802" i="2"/>
  <c r="L1802" i="2"/>
  <c r="L1801" i="2"/>
  <c r="M1801" i="2" s="1"/>
  <c r="M1800" i="2"/>
  <c r="L1800" i="2"/>
  <c r="L1799" i="2"/>
  <c r="M1799" i="2" s="1"/>
  <c r="M1798" i="2"/>
  <c r="L1798" i="2"/>
  <c r="L1797" i="2"/>
  <c r="M1797" i="2" s="1"/>
  <c r="M1796" i="2"/>
  <c r="L1796" i="2"/>
  <c r="L1795" i="2"/>
  <c r="M1795" i="2" s="1"/>
  <c r="M1794" i="2"/>
  <c r="L1794" i="2"/>
  <c r="L1793" i="2"/>
  <c r="M1793" i="2" s="1"/>
  <c r="M1792" i="2"/>
  <c r="L1792" i="2"/>
  <c r="L1791" i="2"/>
  <c r="M1791" i="2" s="1"/>
  <c r="M1790" i="2"/>
  <c r="L1790" i="2"/>
  <c r="L1789" i="2"/>
  <c r="M1789" i="2" s="1"/>
  <c r="M1788" i="2"/>
  <c r="L1788" i="2"/>
  <c r="L1787" i="2"/>
  <c r="M1787" i="2" s="1"/>
  <c r="M1786" i="2"/>
  <c r="L1786" i="2"/>
  <c r="L1785" i="2"/>
  <c r="M1785" i="2" s="1"/>
  <c r="M1784" i="2"/>
  <c r="L1784" i="2"/>
  <c r="L1783" i="2"/>
  <c r="M1783" i="2" s="1"/>
  <c r="M1782" i="2"/>
  <c r="L1782" i="2"/>
  <c r="L1781" i="2"/>
  <c r="M1781" i="2" s="1"/>
  <c r="M1780" i="2"/>
  <c r="L1780" i="2"/>
  <c r="L1779" i="2"/>
  <c r="M1779" i="2" s="1"/>
  <c r="M1778" i="2"/>
  <c r="L1778" i="2"/>
  <c r="L1777" i="2"/>
  <c r="M1777" i="2" s="1"/>
  <c r="M1776" i="2"/>
  <c r="L1776" i="2"/>
  <c r="L1775" i="2"/>
  <c r="M1775" i="2" s="1"/>
  <c r="M1774" i="2"/>
  <c r="L1774" i="2"/>
  <c r="L1773" i="2"/>
  <c r="M1773" i="2" s="1"/>
  <c r="M1772" i="2"/>
  <c r="L1772" i="2"/>
  <c r="L1771" i="2"/>
  <c r="M1771" i="2" s="1"/>
  <c r="M1770" i="2"/>
  <c r="L1770" i="2"/>
  <c r="L1769" i="2"/>
  <c r="M1769" i="2" s="1"/>
  <c r="M1768" i="2"/>
  <c r="L1768" i="2"/>
  <c r="L1767" i="2"/>
  <c r="M1767" i="2" s="1"/>
  <c r="M1766" i="2"/>
  <c r="L1766" i="2"/>
  <c r="L1765" i="2"/>
  <c r="M1765" i="2" s="1"/>
  <c r="M1764" i="2"/>
  <c r="L1764" i="2"/>
  <c r="L1763" i="2"/>
  <c r="M1763" i="2" s="1"/>
  <c r="M1762" i="2"/>
  <c r="L1762" i="2"/>
  <c r="L1761" i="2"/>
  <c r="M1761" i="2" s="1"/>
  <c r="M1760" i="2"/>
  <c r="L1760" i="2"/>
  <c r="L1759" i="2"/>
  <c r="M1759" i="2" s="1"/>
  <c r="M1758" i="2"/>
  <c r="L1758" i="2"/>
  <c r="L1757" i="2"/>
  <c r="M1757" i="2" s="1"/>
  <c r="M1756" i="2"/>
  <c r="L1756" i="2"/>
  <c r="L1755" i="2"/>
  <c r="M1755" i="2" s="1"/>
  <c r="M1754" i="2"/>
  <c r="L1754" i="2"/>
  <c r="L1753" i="2"/>
  <c r="M1753" i="2" s="1"/>
  <c r="M1752" i="2"/>
  <c r="L1752" i="2"/>
  <c r="L1751" i="2"/>
  <c r="M1751" i="2" s="1"/>
  <c r="M1750" i="2"/>
  <c r="L1750" i="2"/>
  <c r="L1749" i="2"/>
  <c r="M1749" i="2" s="1"/>
  <c r="M1748" i="2"/>
  <c r="L1748" i="2"/>
  <c r="L1747" i="2"/>
  <c r="M1747" i="2" s="1"/>
  <c r="M1746" i="2"/>
  <c r="L1746" i="2"/>
  <c r="L1745" i="2"/>
  <c r="M1745" i="2" s="1"/>
  <c r="M1744" i="2"/>
  <c r="L1744" i="2"/>
  <c r="L1743" i="2"/>
  <c r="M1743" i="2" s="1"/>
  <c r="M1742" i="2"/>
  <c r="L1742" i="2"/>
  <c r="L1741" i="2"/>
  <c r="M1741" i="2" s="1"/>
  <c r="M1740" i="2"/>
  <c r="L1740" i="2"/>
  <c r="L1739" i="2"/>
  <c r="M1739" i="2" s="1"/>
  <c r="M1738" i="2"/>
  <c r="L1738" i="2"/>
  <c r="L1737" i="2"/>
  <c r="M1737" i="2" s="1"/>
  <c r="M1736" i="2"/>
  <c r="L1736" i="2"/>
  <c r="L1735" i="2"/>
  <c r="M1735" i="2" s="1"/>
  <c r="M1734" i="2"/>
  <c r="L1734" i="2"/>
  <c r="L1733" i="2"/>
  <c r="M1733" i="2" s="1"/>
  <c r="M1732" i="2"/>
  <c r="L1732" i="2"/>
  <c r="L1731" i="2"/>
  <c r="M1731" i="2" s="1"/>
  <c r="M1730" i="2"/>
  <c r="L1730" i="2"/>
  <c r="L1729" i="2"/>
  <c r="M1729" i="2" s="1"/>
  <c r="M1728" i="2"/>
  <c r="L1728" i="2"/>
  <c r="L1727" i="2"/>
  <c r="M1727" i="2" s="1"/>
  <c r="M1726" i="2"/>
  <c r="L1726" i="2"/>
  <c r="L1725" i="2"/>
  <c r="M1725" i="2" s="1"/>
  <c r="M1724" i="2"/>
  <c r="L1724" i="2"/>
  <c r="L1723" i="2"/>
  <c r="M1723" i="2" s="1"/>
  <c r="M1722" i="2"/>
  <c r="L1722" i="2"/>
  <c r="L1721" i="2"/>
  <c r="M1721" i="2" s="1"/>
  <c r="M1720" i="2"/>
  <c r="L1720" i="2"/>
  <c r="L1719" i="2"/>
  <c r="M1719" i="2" s="1"/>
  <c r="M1718" i="2"/>
  <c r="L1718" i="2"/>
  <c r="L1717" i="2"/>
  <c r="M1717" i="2" s="1"/>
  <c r="M1716" i="2"/>
  <c r="L1716" i="2"/>
  <c r="L1715" i="2"/>
  <c r="M1715" i="2" s="1"/>
  <c r="M1714" i="2"/>
  <c r="L1714" i="2"/>
  <c r="L1713" i="2"/>
  <c r="M1713" i="2" s="1"/>
  <c r="M1712" i="2"/>
  <c r="L1712" i="2"/>
  <c r="L1711" i="2"/>
  <c r="M1711" i="2" s="1"/>
  <c r="M1710" i="2"/>
  <c r="L1710" i="2"/>
  <c r="L1709" i="2"/>
  <c r="M1709" i="2" s="1"/>
  <c r="M1708" i="2"/>
  <c r="L1708" i="2"/>
  <c r="L1707" i="2"/>
  <c r="M1707" i="2" s="1"/>
  <c r="M1706" i="2"/>
  <c r="L1706" i="2"/>
  <c r="L1705" i="2"/>
  <c r="M1705" i="2" s="1"/>
  <c r="M1704" i="2"/>
  <c r="L1704" i="2"/>
  <c r="L1703" i="2"/>
  <c r="M1703" i="2" s="1"/>
  <c r="M1702" i="2"/>
  <c r="L1702" i="2"/>
  <c r="L1701" i="2"/>
  <c r="M1701" i="2" s="1"/>
  <c r="M1700" i="2"/>
  <c r="L1700" i="2"/>
  <c r="L1699" i="2"/>
  <c r="M1699" i="2" s="1"/>
  <c r="M1698" i="2"/>
  <c r="L1698" i="2"/>
  <c r="L1697" i="2"/>
  <c r="M1697" i="2" s="1"/>
  <c r="M1696" i="2"/>
  <c r="L1696" i="2"/>
  <c r="L1695" i="2"/>
  <c r="M1695" i="2" s="1"/>
  <c r="M1694" i="2"/>
  <c r="L1694" i="2"/>
  <c r="L1693" i="2"/>
  <c r="M1693" i="2" s="1"/>
  <c r="M1692" i="2"/>
  <c r="L1692" i="2"/>
  <c r="L1691" i="2"/>
  <c r="M1691" i="2" s="1"/>
  <c r="M1690" i="2"/>
  <c r="L1690" i="2"/>
  <c r="L1689" i="2"/>
  <c r="M1689" i="2" s="1"/>
  <c r="M1688" i="2"/>
  <c r="L1688" i="2"/>
  <c r="L1687" i="2"/>
  <c r="M1687" i="2" s="1"/>
  <c r="M1686" i="2"/>
  <c r="L1686" i="2"/>
  <c r="L1685" i="2"/>
  <c r="M1685" i="2" s="1"/>
  <c r="M1684" i="2"/>
  <c r="L1684" i="2"/>
  <c r="L1683" i="2"/>
  <c r="M1683" i="2" s="1"/>
  <c r="M1682" i="2"/>
  <c r="L1682" i="2"/>
  <c r="L1681" i="2"/>
  <c r="M1681" i="2" s="1"/>
  <c r="M1680" i="2"/>
  <c r="L1680" i="2"/>
  <c r="L1679" i="2"/>
  <c r="M1679" i="2" s="1"/>
  <c r="M1678" i="2"/>
  <c r="L1678" i="2"/>
  <c r="L1677" i="2"/>
  <c r="M1677" i="2" s="1"/>
  <c r="M1676" i="2"/>
  <c r="L1676" i="2"/>
  <c r="L1675" i="2"/>
  <c r="M1675" i="2" s="1"/>
  <c r="M1674" i="2"/>
  <c r="L1674" i="2"/>
  <c r="L1673" i="2"/>
  <c r="M1673" i="2" s="1"/>
  <c r="M1672" i="2"/>
  <c r="L1672" i="2"/>
  <c r="L1671" i="2"/>
  <c r="M1671" i="2" s="1"/>
  <c r="M1670" i="2"/>
  <c r="L1670" i="2"/>
  <c r="L1669" i="2"/>
  <c r="M1669" i="2" s="1"/>
  <c r="M1668" i="2"/>
  <c r="L1668" i="2"/>
  <c r="L1667" i="2"/>
  <c r="M1667" i="2" s="1"/>
  <c r="M1666" i="2"/>
  <c r="L1666" i="2"/>
  <c r="L1665" i="2"/>
  <c r="M1665" i="2" s="1"/>
  <c r="M1664" i="2"/>
  <c r="L1664" i="2"/>
  <c r="L1663" i="2"/>
  <c r="M1663" i="2" s="1"/>
  <c r="M1662" i="2"/>
  <c r="L1662" i="2"/>
  <c r="L1661" i="2"/>
  <c r="M1661" i="2" s="1"/>
  <c r="M1660" i="2"/>
  <c r="L1660" i="2"/>
  <c r="L1659" i="2"/>
  <c r="M1659" i="2" s="1"/>
  <c r="M1658" i="2"/>
  <c r="L1658" i="2"/>
  <c r="L1657" i="2"/>
  <c r="M1657" i="2" s="1"/>
  <c r="M1656" i="2"/>
  <c r="L1656" i="2"/>
  <c r="L1655" i="2"/>
  <c r="M1655" i="2" s="1"/>
  <c r="M1654" i="2"/>
  <c r="L1654" i="2"/>
  <c r="L1653" i="2"/>
  <c r="M1653" i="2" s="1"/>
  <c r="M1652" i="2"/>
  <c r="L1652" i="2"/>
  <c r="L1651" i="2"/>
  <c r="M1651" i="2" s="1"/>
  <c r="M1650" i="2"/>
  <c r="L1650" i="2"/>
  <c r="L1649" i="2"/>
  <c r="M1649" i="2" s="1"/>
  <c r="M1648" i="2"/>
  <c r="L1648" i="2"/>
  <c r="L1647" i="2"/>
  <c r="M1647" i="2" s="1"/>
  <c r="M1646" i="2"/>
  <c r="L1646" i="2"/>
  <c r="L1645" i="2"/>
  <c r="M1645" i="2" s="1"/>
  <c r="M1644" i="2"/>
  <c r="L1644" i="2"/>
  <c r="L1643" i="2"/>
  <c r="M1643" i="2" s="1"/>
  <c r="M1642" i="2"/>
  <c r="L1642" i="2"/>
  <c r="L1641" i="2"/>
  <c r="M1641" i="2" s="1"/>
  <c r="M1640" i="2"/>
  <c r="L1640" i="2"/>
  <c r="L1639" i="2"/>
  <c r="M1639" i="2" s="1"/>
  <c r="M1638" i="2"/>
  <c r="L1638" i="2"/>
  <c r="L1637" i="2"/>
  <c r="M1637" i="2" s="1"/>
  <c r="M1636" i="2"/>
  <c r="L1636" i="2"/>
  <c r="L1635" i="2"/>
  <c r="M1635" i="2" s="1"/>
  <c r="M1634" i="2"/>
  <c r="L1634" i="2"/>
  <c r="L1633" i="2"/>
  <c r="M1633" i="2" s="1"/>
  <c r="M1632" i="2"/>
  <c r="L1632" i="2"/>
  <c r="L1631" i="2"/>
  <c r="M1631" i="2" s="1"/>
  <c r="M1630" i="2"/>
  <c r="L1630" i="2"/>
  <c r="L1629" i="2"/>
  <c r="M1629" i="2" s="1"/>
  <c r="M1628" i="2"/>
  <c r="L1628" i="2"/>
  <c r="L1627" i="2"/>
  <c r="M1627" i="2" s="1"/>
  <c r="M1626" i="2"/>
  <c r="L1626" i="2"/>
  <c r="L1625" i="2"/>
  <c r="M1625" i="2" s="1"/>
  <c r="M1624" i="2"/>
  <c r="L1624" i="2"/>
  <c r="L1623" i="2"/>
  <c r="M1623" i="2" s="1"/>
  <c r="M1622" i="2"/>
  <c r="L1622" i="2"/>
  <c r="L1621" i="2"/>
  <c r="M1621" i="2" s="1"/>
  <c r="L1620" i="2"/>
  <c r="M1620" i="2" s="1"/>
  <c r="L1619" i="2"/>
  <c r="M1619" i="2" s="1"/>
  <c r="L1618" i="2"/>
  <c r="M1618" i="2" s="1"/>
  <c r="L1617" i="2"/>
  <c r="M1617" i="2" s="1"/>
  <c r="M1616" i="2"/>
  <c r="L1616" i="2"/>
  <c r="L1615" i="2"/>
  <c r="M1615" i="2" s="1"/>
  <c r="M1614" i="2"/>
  <c r="L1614" i="2"/>
  <c r="L1613" i="2"/>
  <c r="M1613" i="2" s="1"/>
  <c r="L1612" i="2"/>
  <c r="M1612" i="2" s="1"/>
  <c r="L1611" i="2"/>
  <c r="M1611" i="2" s="1"/>
  <c r="L1610" i="2"/>
  <c r="M1610" i="2" s="1"/>
  <c r="L1609" i="2"/>
  <c r="M1609" i="2" s="1"/>
  <c r="M1608" i="2"/>
  <c r="L1608" i="2"/>
  <c r="L1607" i="2"/>
  <c r="M1607" i="2" s="1"/>
  <c r="M1606" i="2"/>
  <c r="L1606" i="2"/>
  <c r="L1605" i="2"/>
  <c r="M1605" i="2" s="1"/>
  <c r="L1604" i="2"/>
  <c r="M1604" i="2" s="1"/>
  <c r="L1603" i="2"/>
  <c r="M1603" i="2" s="1"/>
  <c r="L1602" i="2"/>
  <c r="M1602" i="2" s="1"/>
  <c r="L1601" i="2"/>
  <c r="M1601" i="2" s="1"/>
  <c r="M1600" i="2"/>
  <c r="L1600" i="2"/>
  <c r="L1599" i="2"/>
  <c r="M1599" i="2" s="1"/>
  <c r="M1598" i="2"/>
  <c r="L1598" i="2"/>
  <c r="L1597" i="2"/>
  <c r="M1597" i="2" s="1"/>
  <c r="L1596" i="2"/>
  <c r="M1596" i="2" s="1"/>
  <c r="L1595" i="2"/>
  <c r="M1595" i="2" s="1"/>
  <c r="L1594" i="2"/>
  <c r="M1594" i="2" s="1"/>
  <c r="L1593" i="2"/>
  <c r="M1593" i="2" s="1"/>
  <c r="M1592" i="2"/>
  <c r="L1592" i="2"/>
  <c r="L1591" i="2"/>
  <c r="M1591" i="2" s="1"/>
  <c r="M1590" i="2"/>
  <c r="L1590" i="2"/>
  <c r="L1589" i="2"/>
  <c r="M1589" i="2" s="1"/>
  <c r="L1588" i="2"/>
  <c r="M1588" i="2" s="1"/>
  <c r="L1587" i="2"/>
  <c r="M1587" i="2" s="1"/>
  <c r="L1586" i="2"/>
  <c r="M1586" i="2" s="1"/>
  <c r="L1585" i="2"/>
  <c r="M1585" i="2" s="1"/>
  <c r="M1584" i="2"/>
  <c r="L1584" i="2"/>
  <c r="L1583" i="2"/>
  <c r="M1583" i="2" s="1"/>
  <c r="M1582" i="2"/>
  <c r="L1582" i="2"/>
  <c r="L1581" i="2"/>
  <c r="M1581" i="2" s="1"/>
  <c r="L1580" i="2"/>
  <c r="M1580" i="2" s="1"/>
  <c r="L1579" i="2"/>
  <c r="M1579" i="2" s="1"/>
  <c r="L1578" i="2"/>
  <c r="M1578" i="2" s="1"/>
  <c r="L1577" i="2"/>
  <c r="M1577" i="2" s="1"/>
  <c r="M1576" i="2"/>
  <c r="L1576" i="2"/>
  <c r="L1575" i="2"/>
  <c r="M1575" i="2" s="1"/>
  <c r="M1574" i="2"/>
  <c r="L1574" i="2"/>
  <c r="L1573" i="2"/>
  <c r="M1573" i="2" s="1"/>
  <c r="L1572" i="2"/>
  <c r="M1572" i="2" s="1"/>
  <c r="L1571" i="2"/>
  <c r="M1571" i="2" s="1"/>
  <c r="L1570" i="2"/>
  <c r="M1570" i="2" s="1"/>
  <c r="L1569" i="2"/>
  <c r="M1569" i="2" s="1"/>
  <c r="M1568" i="2"/>
  <c r="L1568" i="2"/>
  <c r="L1567" i="2"/>
  <c r="M1567" i="2" s="1"/>
  <c r="M1566" i="2"/>
  <c r="L1566" i="2"/>
  <c r="L1565" i="2"/>
  <c r="M1565" i="2" s="1"/>
  <c r="M1564" i="2"/>
  <c r="L1564" i="2"/>
  <c r="L1563" i="2"/>
  <c r="M1563" i="2" s="1"/>
  <c r="M1562" i="2"/>
  <c r="L1562" i="2"/>
  <c r="L1561" i="2"/>
  <c r="M1561" i="2" s="1"/>
  <c r="M1560" i="2"/>
  <c r="L1560" i="2"/>
  <c r="L1559" i="2"/>
  <c r="M1559" i="2" s="1"/>
  <c r="M1558" i="2"/>
  <c r="L1558" i="2"/>
  <c r="L1557" i="2"/>
  <c r="M1557" i="2" s="1"/>
  <c r="M1556" i="2"/>
  <c r="L1556" i="2"/>
  <c r="L1555" i="2"/>
  <c r="M1555" i="2" s="1"/>
  <c r="M1554" i="2"/>
  <c r="L1554" i="2"/>
  <c r="L1553" i="2"/>
  <c r="M1553" i="2" s="1"/>
  <c r="M1552" i="2"/>
  <c r="L1552" i="2"/>
  <c r="L1551" i="2"/>
  <c r="M1551" i="2" s="1"/>
  <c r="M1550" i="2"/>
  <c r="L1550" i="2"/>
  <c r="L1549" i="2"/>
  <c r="M1549" i="2" s="1"/>
  <c r="M1548" i="2"/>
  <c r="L1548" i="2"/>
  <c r="L1547" i="2"/>
  <c r="M1547" i="2" s="1"/>
  <c r="M1546" i="2"/>
  <c r="L1546" i="2"/>
  <c r="L1545" i="2"/>
  <c r="M1545" i="2" s="1"/>
  <c r="M1544" i="2"/>
  <c r="L1544" i="2"/>
  <c r="L1543" i="2"/>
  <c r="M1543" i="2" s="1"/>
  <c r="M1542" i="2"/>
  <c r="L1542" i="2"/>
  <c r="L1541" i="2"/>
  <c r="M1541" i="2" s="1"/>
  <c r="M1540" i="2"/>
  <c r="L1540" i="2"/>
  <c r="L1539" i="2"/>
  <c r="M1539" i="2" s="1"/>
  <c r="M1538" i="2"/>
  <c r="L1538" i="2"/>
  <c r="L1537" i="2"/>
  <c r="M1537" i="2" s="1"/>
  <c r="M1536" i="2"/>
  <c r="L1536" i="2"/>
  <c r="L1535" i="2"/>
  <c r="M1535" i="2" s="1"/>
  <c r="M1534" i="2"/>
  <c r="L1534" i="2"/>
  <c r="L1533" i="2"/>
  <c r="M1533" i="2" s="1"/>
  <c r="M1532" i="2"/>
  <c r="L1532" i="2"/>
  <c r="L1531" i="2"/>
  <c r="M1531" i="2" s="1"/>
  <c r="M1530" i="2"/>
  <c r="L1530" i="2"/>
  <c r="L1529" i="2"/>
  <c r="M1529" i="2" s="1"/>
  <c r="M1528" i="2"/>
  <c r="L1528" i="2"/>
  <c r="L1527" i="2"/>
  <c r="M1527" i="2" s="1"/>
  <c r="M1526" i="2"/>
  <c r="L1526" i="2"/>
  <c r="L1525" i="2"/>
  <c r="M1525" i="2" s="1"/>
  <c r="M1524" i="2"/>
  <c r="L1524" i="2"/>
  <c r="L1523" i="2"/>
  <c r="M1523" i="2" s="1"/>
  <c r="M1522" i="2"/>
  <c r="L1522" i="2"/>
  <c r="L1521" i="2"/>
  <c r="M1521" i="2" s="1"/>
  <c r="M1520" i="2"/>
  <c r="L1520" i="2"/>
  <c r="L1519" i="2"/>
  <c r="M1519" i="2" s="1"/>
  <c r="M1518" i="2"/>
  <c r="L1518" i="2"/>
  <c r="L1517" i="2"/>
  <c r="M1517" i="2" s="1"/>
  <c r="M1516" i="2"/>
  <c r="L1516" i="2"/>
  <c r="L1515" i="2"/>
  <c r="M1515" i="2" s="1"/>
  <c r="M1514" i="2"/>
  <c r="L1514" i="2"/>
  <c r="L1513" i="2"/>
  <c r="M1513" i="2" s="1"/>
  <c r="M1512" i="2"/>
  <c r="L1512" i="2"/>
  <c r="L1511" i="2"/>
  <c r="M1511" i="2" s="1"/>
  <c r="M1510" i="2"/>
  <c r="L1510" i="2"/>
  <c r="L1509" i="2"/>
  <c r="M1509" i="2" s="1"/>
  <c r="M1508" i="2"/>
  <c r="L1508" i="2"/>
  <c r="L1507" i="2"/>
  <c r="M1507" i="2" s="1"/>
  <c r="M1506" i="2"/>
  <c r="L1506" i="2"/>
  <c r="L1505" i="2"/>
  <c r="M1505" i="2" s="1"/>
  <c r="M1504" i="2"/>
  <c r="L1504" i="2"/>
  <c r="L1503" i="2"/>
  <c r="M1503" i="2" s="1"/>
  <c r="M1502" i="2"/>
  <c r="L1502" i="2"/>
  <c r="L1501" i="2"/>
  <c r="M1501" i="2" s="1"/>
  <c r="M1500" i="2"/>
  <c r="L1500" i="2"/>
  <c r="L1499" i="2"/>
  <c r="M1499" i="2" s="1"/>
  <c r="M1498" i="2"/>
  <c r="L1498" i="2"/>
  <c r="L1497" i="2"/>
  <c r="M1497" i="2" s="1"/>
  <c r="M1496" i="2"/>
  <c r="L1496" i="2"/>
  <c r="L1495" i="2"/>
  <c r="M1495" i="2" s="1"/>
  <c r="M1494" i="2"/>
  <c r="L1494" i="2"/>
  <c r="L1493" i="2"/>
  <c r="M1493" i="2" s="1"/>
  <c r="M1492" i="2"/>
  <c r="L1492" i="2"/>
  <c r="L1491" i="2"/>
  <c r="M1491" i="2" s="1"/>
  <c r="M1490" i="2"/>
  <c r="L1490" i="2"/>
  <c r="L1489" i="2"/>
  <c r="M1489" i="2" s="1"/>
  <c r="M1488" i="2"/>
  <c r="L1488" i="2"/>
  <c r="L1487" i="2"/>
  <c r="M1487" i="2" s="1"/>
  <c r="M1486" i="2"/>
  <c r="L1486" i="2"/>
  <c r="L1485" i="2"/>
  <c r="M1485" i="2" s="1"/>
  <c r="M1484" i="2"/>
  <c r="L1484" i="2"/>
  <c r="L1483" i="2"/>
  <c r="M1483" i="2" s="1"/>
  <c r="M1482" i="2"/>
  <c r="L1482" i="2"/>
  <c r="L1481" i="2"/>
  <c r="M1481" i="2" s="1"/>
  <c r="M1480" i="2"/>
  <c r="L1480" i="2"/>
  <c r="L1479" i="2"/>
  <c r="M1479" i="2" s="1"/>
  <c r="M1478" i="2"/>
  <c r="L1478" i="2"/>
  <c r="L1477" i="2"/>
  <c r="M1477" i="2" s="1"/>
  <c r="M1476" i="2"/>
  <c r="L1476" i="2"/>
  <c r="L1475" i="2"/>
  <c r="M1475" i="2" s="1"/>
  <c r="M1474" i="2"/>
  <c r="L1474" i="2"/>
  <c r="L1473" i="2"/>
  <c r="M1473" i="2" s="1"/>
  <c r="M1472" i="2"/>
  <c r="L1472" i="2"/>
  <c r="L1471" i="2"/>
  <c r="M1471" i="2" s="1"/>
  <c r="M1470" i="2"/>
  <c r="L1470" i="2"/>
  <c r="L1469" i="2"/>
  <c r="M1469" i="2" s="1"/>
  <c r="M1468" i="2"/>
  <c r="L1468" i="2"/>
  <c r="L1467" i="2"/>
  <c r="M1467" i="2" s="1"/>
  <c r="M1466" i="2"/>
  <c r="L1466" i="2"/>
  <c r="L1465" i="2"/>
  <c r="M1465" i="2" s="1"/>
  <c r="M1464" i="2"/>
  <c r="L1464" i="2"/>
  <c r="L1463" i="2"/>
  <c r="M1463" i="2" s="1"/>
  <c r="M1462" i="2"/>
  <c r="L1462" i="2"/>
  <c r="L1461" i="2"/>
  <c r="M1461" i="2" s="1"/>
  <c r="M1460" i="2"/>
  <c r="L1460" i="2"/>
  <c r="L1459" i="2"/>
  <c r="M1459" i="2" s="1"/>
  <c r="M1458" i="2"/>
  <c r="L1458" i="2"/>
  <c r="L1457" i="2"/>
  <c r="M1457" i="2" s="1"/>
  <c r="M1456" i="2"/>
  <c r="L1456" i="2"/>
  <c r="L1455" i="2"/>
  <c r="M1455" i="2" s="1"/>
  <c r="M1454" i="2"/>
  <c r="L1454" i="2"/>
  <c r="L1453" i="2"/>
  <c r="M1453" i="2" s="1"/>
  <c r="M1452" i="2"/>
  <c r="L1452" i="2"/>
  <c r="L1451" i="2"/>
  <c r="M1451" i="2" s="1"/>
  <c r="M1450" i="2"/>
  <c r="L1450" i="2"/>
  <c r="L1449" i="2"/>
  <c r="M1449" i="2" s="1"/>
  <c r="M1448" i="2"/>
  <c r="L1448" i="2"/>
  <c r="L1447" i="2"/>
  <c r="M1447" i="2" s="1"/>
  <c r="M1446" i="2"/>
  <c r="L1446" i="2"/>
  <c r="L1445" i="2"/>
  <c r="M1445" i="2" s="1"/>
  <c r="M1444" i="2"/>
  <c r="L1444" i="2"/>
  <c r="L1443" i="2"/>
  <c r="M1443" i="2" s="1"/>
  <c r="M1442" i="2"/>
  <c r="L1442" i="2"/>
  <c r="L1441" i="2"/>
  <c r="M1441" i="2" s="1"/>
  <c r="M1440" i="2"/>
  <c r="L1440" i="2"/>
  <c r="L1439" i="2"/>
  <c r="M1439" i="2" s="1"/>
  <c r="M1438" i="2"/>
  <c r="L1438" i="2"/>
  <c r="L1437" i="2"/>
  <c r="M1437" i="2" s="1"/>
  <c r="M1436" i="2"/>
  <c r="L1436" i="2"/>
  <c r="L1435" i="2"/>
  <c r="M1435" i="2" s="1"/>
  <c r="M1434" i="2"/>
  <c r="L1434" i="2"/>
  <c r="L1433" i="2"/>
  <c r="M1433" i="2" s="1"/>
  <c r="M1432" i="2"/>
  <c r="L1432" i="2"/>
  <c r="L1431" i="2"/>
  <c r="M1431" i="2" s="1"/>
  <c r="M1430" i="2"/>
  <c r="L1430" i="2"/>
  <c r="L1429" i="2"/>
  <c r="M1429" i="2" s="1"/>
  <c r="M1428" i="2"/>
  <c r="L1428" i="2"/>
  <c r="L1427" i="2"/>
  <c r="M1427" i="2" s="1"/>
  <c r="M1426" i="2"/>
  <c r="L1426" i="2"/>
  <c r="L1425" i="2"/>
  <c r="M1425" i="2" s="1"/>
  <c r="M1424" i="2"/>
  <c r="L1424" i="2"/>
  <c r="L1423" i="2"/>
  <c r="M1423" i="2" s="1"/>
  <c r="M1422" i="2"/>
  <c r="L1422" i="2"/>
  <c r="L1421" i="2"/>
  <c r="M1421" i="2" s="1"/>
  <c r="M1420" i="2"/>
  <c r="L1420" i="2"/>
  <c r="L1419" i="2"/>
  <c r="M1419" i="2" s="1"/>
  <c r="M1418" i="2"/>
  <c r="L1418" i="2"/>
  <c r="L1417" i="2"/>
  <c r="M1417" i="2" s="1"/>
  <c r="M1416" i="2"/>
  <c r="L1416" i="2"/>
  <c r="L1415" i="2"/>
  <c r="M1415" i="2" s="1"/>
  <c r="M1414" i="2"/>
  <c r="L1414" i="2"/>
  <c r="L1413" i="2"/>
  <c r="M1413" i="2" s="1"/>
  <c r="M1412" i="2"/>
  <c r="L1412" i="2"/>
  <c r="L1411" i="2"/>
  <c r="M1411" i="2" s="1"/>
  <c r="M1410" i="2"/>
  <c r="L1410" i="2"/>
  <c r="L1409" i="2"/>
  <c r="M1409" i="2" s="1"/>
  <c r="M1408" i="2"/>
  <c r="L1408" i="2"/>
  <c r="L1407" i="2"/>
  <c r="M1407" i="2" s="1"/>
  <c r="M1406" i="2"/>
  <c r="L1406" i="2"/>
  <c r="L1405" i="2"/>
  <c r="M1405" i="2" s="1"/>
  <c r="M1404" i="2"/>
  <c r="L1404" i="2"/>
  <c r="L1403" i="2"/>
  <c r="M1403" i="2" s="1"/>
  <c r="M1402" i="2"/>
  <c r="L1402" i="2"/>
  <c r="L1401" i="2"/>
  <c r="M1401" i="2" s="1"/>
  <c r="M1400" i="2"/>
  <c r="L1400" i="2"/>
  <c r="L1399" i="2"/>
  <c r="M1399" i="2" s="1"/>
  <c r="M1398" i="2"/>
  <c r="L1398" i="2"/>
  <c r="L1397" i="2"/>
  <c r="M1397" i="2" s="1"/>
  <c r="M1396" i="2"/>
  <c r="L1396" i="2"/>
  <c r="L1395" i="2"/>
  <c r="M1395" i="2" s="1"/>
  <c r="M1394" i="2"/>
  <c r="L1394" i="2"/>
  <c r="L1393" i="2"/>
  <c r="M1393" i="2" s="1"/>
  <c r="M1392" i="2"/>
  <c r="L1392" i="2"/>
  <c r="L1391" i="2"/>
  <c r="M1391" i="2" s="1"/>
  <c r="L1390" i="2"/>
  <c r="M1390" i="2" s="1"/>
  <c r="L1389" i="2"/>
  <c r="M1389" i="2" s="1"/>
  <c r="M1388" i="2"/>
  <c r="L1388" i="2"/>
  <c r="L1387" i="2"/>
  <c r="M1387" i="2" s="1"/>
  <c r="M1386" i="2"/>
  <c r="L1386" i="2"/>
  <c r="L1385" i="2"/>
  <c r="M1385" i="2" s="1"/>
  <c r="L1384" i="2"/>
  <c r="M1384" i="2" s="1"/>
  <c r="L1383" i="2"/>
  <c r="M1383" i="2" s="1"/>
  <c r="L1382" i="2"/>
  <c r="M1382" i="2" s="1"/>
  <c r="L1381" i="2"/>
  <c r="M1381" i="2" s="1"/>
  <c r="M1380" i="2"/>
  <c r="L1380" i="2"/>
  <c r="L1379" i="2"/>
  <c r="M1379" i="2" s="1"/>
  <c r="M1378" i="2"/>
  <c r="L1378" i="2"/>
  <c r="L1377" i="2"/>
  <c r="M1377" i="2" s="1"/>
  <c r="L1376" i="2"/>
  <c r="M1376" i="2" s="1"/>
  <c r="L1375" i="2"/>
  <c r="M1375" i="2" s="1"/>
  <c r="L1374" i="2"/>
  <c r="M1374" i="2" s="1"/>
  <c r="L1373" i="2"/>
  <c r="M1373" i="2" s="1"/>
  <c r="M1372" i="2"/>
  <c r="L1372" i="2"/>
  <c r="L1371" i="2"/>
  <c r="M1371" i="2" s="1"/>
  <c r="M1370" i="2"/>
  <c r="L1370" i="2"/>
  <c r="L1369" i="2"/>
  <c r="M1369" i="2" s="1"/>
  <c r="L1368" i="2"/>
  <c r="M1368" i="2" s="1"/>
  <c r="L1367" i="2"/>
  <c r="M1367" i="2" s="1"/>
  <c r="L1366" i="2"/>
  <c r="M1366" i="2" s="1"/>
  <c r="L1365" i="2"/>
  <c r="M1365" i="2" s="1"/>
  <c r="M1364" i="2"/>
  <c r="L1364" i="2"/>
  <c r="L1363" i="2"/>
  <c r="M1363" i="2" s="1"/>
  <c r="M1362" i="2"/>
  <c r="L1362" i="2"/>
  <c r="L1361" i="2"/>
  <c r="M1361" i="2" s="1"/>
  <c r="L1360" i="2"/>
  <c r="M1360" i="2" s="1"/>
  <c r="L1359" i="2"/>
  <c r="M1359" i="2" s="1"/>
  <c r="L1358" i="2"/>
  <c r="M1358" i="2" s="1"/>
  <c r="L1357" i="2"/>
  <c r="M1357" i="2" s="1"/>
  <c r="M1356" i="2"/>
  <c r="L1356" i="2"/>
  <c r="L1355" i="2"/>
  <c r="M1355" i="2" s="1"/>
  <c r="M1354" i="2"/>
  <c r="L1354" i="2"/>
  <c r="L1353" i="2"/>
  <c r="M1353" i="2" s="1"/>
  <c r="L1352" i="2"/>
  <c r="M1352" i="2" s="1"/>
  <c r="L1351" i="2"/>
  <c r="M1351" i="2" s="1"/>
  <c r="L1350" i="2"/>
  <c r="M1350" i="2" s="1"/>
  <c r="L1349" i="2"/>
  <c r="M1349" i="2" s="1"/>
  <c r="M1348" i="2"/>
  <c r="L1348" i="2"/>
  <c r="L1347" i="2"/>
  <c r="M1347" i="2" s="1"/>
  <c r="M1346" i="2"/>
  <c r="L1346" i="2"/>
  <c r="L1345" i="2"/>
  <c r="M1345" i="2" s="1"/>
  <c r="L1344" i="2"/>
  <c r="M1344" i="2" s="1"/>
  <c r="L1343" i="2"/>
  <c r="M1343" i="2" s="1"/>
  <c r="L1342" i="2"/>
  <c r="M1342" i="2" s="1"/>
  <c r="L1341" i="2"/>
  <c r="M1341" i="2" s="1"/>
  <c r="M1340" i="2"/>
  <c r="L1340" i="2"/>
  <c r="L1339" i="2"/>
  <c r="M1339" i="2" s="1"/>
  <c r="M1338" i="2"/>
  <c r="L1338" i="2"/>
  <c r="L1337" i="2"/>
  <c r="M1337" i="2" s="1"/>
  <c r="L1336" i="2"/>
  <c r="M1336" i="2" s="1"/>
  <c r="L1335" i="2"/>
  <c r="M1335" i="2" s="1"/>
  <c r="L1334" i="2"/>
  <c r="M1334" i="2" s="1"/>
  <c r="L1333" i="2"/>
  <c r="M1333" i="2" s="1"/>
  <c r="M1332" i="2"/>
  <c r="L1332" i="2"/>
  <c r="L1331" i="2"/>
  <c r="M1331" i="2" s="1"/>
  <c r="M1330" i="2"/>
  <c r="L1330" i="2"/>
  <c r="L1329" i="2"/>
  <c r="M1329" i="2" s="1"/>
  <c r="L1328" i="2"/>
  <c r="M1328" i="2" s="1"/>
  <c r="L1327" i="2"/>
  <c r="M1327" i="2" s="1"/>
  <c r="L1326" i="2"/>
  <c r="M1326" i="2" s="1"/>
  <c r="L1325" i="2"/>
  <c r="M1325" i="2" s="1"/>
  <c r="M1324" i="2"/>
  <c r="L1324" i="2"/>
  <c r="L1323" i="2"/>
  <c r="M1323" i="2" s="1"/>
  <c r="M1322" i="2"/>
  <c r="L1322" i="2"/>
  <c r="L1321" i="2"/>
  <c r="M1321" i="2" s="1"/>
  <c r="L1320" i="2"/>
  <c r="M1320" i="2" s="1"/>
  <c r="L1319" i="2"/>
  <c r="M1319" i="2" s="1"/>
  <c r="L1318" i="2"/>
  <c r="M1318" i="2" s="1"/>
  <c r="L1317" i="2"/>
  <c r="M1317" i="2" s="1"/>
  <c r="M1316" i="2"/>
  <c r="L1316" i="2"/>
  <c r="L1315" i="2"/>
  <c r="M1315" i="2" s="1"/>
  <c r="M1314" i="2"/>
  <c r="L1314" i="2"/>
  <c r="L1313" i="2"/>
  <c r="M1313" i="2" s="1"/>
  <c r="L1312" i="2"/>
  <c r="M1312" i="2" s="1"/>
  <c r="L1311" i="2"/>
  <c r="M1311" i="2" s="1"/>
  <c r="L1310" i="2"/>
  <c r="M1310" i="2" s="1"/>
  <c r="L1309" i="2"/>
  <c r="M1309" i="2" s="1"/>
  <c r="M1308" i="2"/>
  <c r="L1308" i="2"/>
  <c r="L1307" i="2"/>
  <c r="M1307" i="2" s="1"/>
  <c r="M1306" i="2"/>
  <c r="L1306" i="2"/>
  <c r="L1305" i="2"/>
  <c r="M1305" i="2" s="1"/>
  <c r="L1304" i="2"/>
  <c r="M1304" i="2" s="1"/>
  <c r="L1303" i="2"/>
  <c r="M1303" i="2" s="1"/>
  <c r="L1302" i="2"/>
  <c r="M1302" i="2" s="1"/>
  <c r="L1301" i="2"/>
  <c r="M1301" i="2" s="1"/>
  <c r="M1300" i="2"/>
  <c r="L1300" i="2"/>
  <c r="L1299" i="2"/>
  <c r="M1299" i="2" s="1"/>
  <c r="M1298" i="2"/>
  <c r="L1298" i="2"/>
  <c r="L1297" i="2"/>
  <c r="M1297" i="2" s="1"/>
  <c r="L1296" i="2"/>
  <c r="M1296" i="2" s="1"/>
  <c r="L1295" i="2"/>
  <c r="M1295" i="2" s="1"/>
  <c r="L1294" i="2"/>
  <c r="M1294" i="2" s="1"/>
  <c r="L1293" i="2"/>
  <c r="M1293" i="2" s="1"/>
  <c r="M1292" i="2"/>
  <c r="L1292" i="2"/>
  <c r="L1291" i="2"/>
  <c r="M1291" i="2" s="1"/>
  <c r="M1290" i="2"/>
  <c r="L1290" i="2"/>
  <c r="L1289" i="2"/>
  <c r="M1289" i="2" s="1"/>
  <c r="L1288" i="2"/>
  <c r="M1288" i="2" s="1"/>
  <c r="L1287" i="2"/>
  <c r="M1287" i="2" s="1"/>
  <c r="L1286" i="2"/>
  <c r="M1286" i="2" s="1"/>
  <c r="L1285" i="2"/>
  <c r="M1285" i="2" s="1"/>
  <c r="M1284" i="2"/>
  <c r="L1284" i="2"/>
  <c r="L1283" i="2"/>
  <c r="M1283" i="2" s="1"/>
  <c r="M1282" i="2"/>
  <c r="L1282" i="2"/>
  <c r="L1281" i="2"/>
  <c r="M1281" i="2" s="1"/>
  <c r="L1280" i="2"/>
  <c r="M1280" i="2" s="1"/>
  <c r="L1279" i="2"/>
  <c r="M1279" i="2" s="1"/>
  <c r="L1278" i="2"/>
  <c r="M1278" i="2" s="1"/>
  <c r="L1277" i="2"/>
  <c r="M1277" i="2" s="1"/>
  <c r="M1276" i="2"/>
  <c r="L1276" i="2"/>
  <c r="L1275" i="2"/>
  <c r="M1275" i="2" s="1"/>
  <c r="M1274" i="2"/>
  <c r="L1274" i="2"/>
  <c r="L1273" i="2"/>
  <c r="M1273" i="2" s="1"/>
  <c r="L1272" i="2"/>
  <c r="M1272" i="2" s="1"/>
  <c r="L1271" i="2"/>
  <c r="M1271" i="2" s="1"/>
  <c r="L1270" i="2"/>
  <c r="M1270" i="2" s="1"/>
  <c r="L1269" i="2"/>
  <c r="M1269" i="2" s="1"/>
  <c r="M1268" i="2"/>
  <c r="L1268" i="2"/>
  <c r="L1267" i="2"/>
  <c r="M1267" i="2" s="1"/>
  <c r="M1266" i="2"/>
  <c r="L1266" i="2"/>
  <c r="L1265" i="2"/>
  <c r="M1265" i="2" s="1"/>
  <c r="L1264" i="2"/>
  <c r="M1264" i="2" s="1"/>
  <c r="L1263" i="2"/>
  <c r="M1263" i="2" s="1"/>
  <c r="L1262" i="2"/>
  <c r="M1262" i="2" s="1"/>
  <c r="L1261" i="2"/>
  <c r="M1261" i="2" s="1"/>
  <c r="M1260" i="2"/>
  <c r="L1260" i="2"/>
  <c r="L1259" i="2"/>
  <c r="M1259" i="2" s="1"/>
  <c r="M1258" i="2"/>
  <c r="L1258" i="2"/>
  <c r="L1257" i="2"/>
  <c r="M1257" i="2" s="1"/>
  <c r="L1256" i="2"/>
  <c r="M1256" i="2" s="1"/>
  <c r="L1255" i="2"/>
  <c r="M1255" i="2" s="1"/>
  <c r="L1254" i="2"/>
  <c r="M1254" i="2" s="1"/>
  <c r="L1253" i="2"/>
  <c r="M1253" i="2" s="1"/>
  <c r="M1252" i="2"/>
  <c r="L1252" i="2"/>
  <c r="L1251" i="2"/>
  <c r="M1251" i="2" s="1"/>
  <c r="M1250" i="2"/>
  <c r="L1250" i="2"/>
  <c r="L1249" i="2"/>
  <c r="M1249" i="2" s="1"/>
  <c r="L1248" i="2"/>
  <c r="M1248" i="2" s="1"/>
  <c r="L1247" i="2"/>
  <c r="M1247" i="2" s="1"/>
  <c r="L1246" i="2"/>
  <c r="M1246" i="2" s="1"/>
  <c r="L1245" i="2"/>
  <c r="M1245" i="2" s="1"/>
  <c r="M1244" i="2"/>
  <c r="L1244" i="2"/>
  <c r="L1243" i="2"/>
  <c r="M1243" i="2" s="1"/>
  <c r="M1242" i="2"/>
  <c r="L1242" i="2"/>
  <c r="L1241" i="2"/>
  <c r="M1241" i="2" s="1"/>
  <c r="M1240" i="2"/>
  <c r="L1240" i="2"/>
  <c r="L1239" i="2"/>
  <c r="M1239" i="2" s="1"/>
  <c r="M1238" i="2"/>
  <c r="L1238" i="2"/>
  <c r="L1237" i="2"/>
  <c r="M1237" i="2" s="1"/>
  <c r="M1236" i="2"/>
  <c r="L1236" i="2"/>
  <c r="L1235" i="2"/>
  <c r="M1235" i="2" s="1"/>
  <c r="M1234" i="2"/>
  <c r="L1234" i="2"/>
  <c r="L1233" i="2"/>
  <c r="M1233" i="2" s="1"/>
  <c r="M1232" i="2"/>
  <c r="L1232" i="2"/>
  <c r="L1231" i="2"/>
  <c r="M1231" i="2" s="1"/>
  <c r="M1230" i="2"/>
  <c r="L1230" i="2"/>
  <c r="L1229" i="2"/>
  <c r="M1229" i="2" s="1"/>
  <c r="M1228" i="2"/>
  <c r="L1228" i="2"/>
  <c r="L1227" i="2"/>
  <c r="M1227" i="2" s="1"/>
  <c r="M1226" i="2"/>
  <c r="L1226" i="2"/>
  <c r="L1225" i="2"/>
  <c r="M1225" i="2" s="1"/>
  <c r="M1224" i="2"/>
  <c r="L1224" i="2"/>
  <c r="L1223" i="2"/>
  <c r="M1223" i="2" s="1"/>
  <c r="M1222" i="2"/>
  <c r="L1222" i="2"/>
  <c r="L1221" i="2"/>
  <c r="M1221" i="2" s="1"/>
  <c r="M1220" i="2"/>
  <c r="L1220" i="2"/>
  <c r="L1219" i="2"/>
  <c r="M1219" i="2" s="1"/>
  <c r="M1218" i="2"/>
  <c r="L1218" i="2"/>
  <c r="L1217" i="2"/>
  <c r="M1217" i="2" s="1"/>
  <c r="M1216" i="2"/>
  <c r="L1216" i="2"/>
  <c r="L1215" i="2"/>
  <c r="M1215" i="2" s="1"/>
  <c r="M1214" i="2"/>
  <c r="L1214" i="2"/>
  <c r="L1213" i="2"/>
  <c r="M1213" i="2" s="1"/>
  <c r="M1212" i="2"/>
  <c r="L1212" i="2"/>
  <c r="L1211" i="2"/>
  <c r="M1211" i="2" s="1"/>
  <c r="M1210" i="2"/>
  <c r="L1210" i="2"/>
  <c r="L1209" i="2"/>
  <c r="M1209" i="2" s="1"/>
  <c r="M1208" i="2"/>
  <c r="L1208" i="2"/>
  <c r="L1207" i="2"/>
  <c r="M1207" i="2" s="1"/>
  <c r="M1206" i="2"/>
  <c r="L1206" i="2"/>
  <c r="L1205" i="2"/>
  <c r="M1205" i="2" s="1"/>
  <c r="M1204" i="2"/>
  <c r="L1204" i="2"/>
  <c r="L1203" i="2"/>
  <c r="M1203" i="2" s="1"/>
  <c r="M1202" i="2"/>
  <c r="L1202" i="2"/>
  <c r="L1201" i="2"/>
  <c r="M1201" i="2" s="1"/>
  <c r="M1200" i="2"/>
  <c r="L1200" i="2"/>
  <c r="L1199" i="2"/>
  <c r="M1199" i="2" s="1"/>
  <c r="M1198" i="2"/>
  <c r="L1198" i="2"/>
  <c r="L1197" i="2"/>
  <c r="M1197" i="2" s="1"/>
  <c r="M1196" i="2"/>
  <c r="L1196" i="2"/>
  <c r="L1195" i="2"/>
  <c r="M1195" i="2" s="1"/>
  <c r="M1194" i="2"/>
  <c r="L1194" i="2"/>
  <c r="L1193" i="2"/>
  <c r="M1193" i="2" s="1"/>
  <c r="M1192" i="2"/>
  <c r="L1192" i="2"/>
  <c r="L1191" i="2"/>
  <c r="M1191" i="2" s="1"/>
  <c r="M1190" i="2"/>
  <c r="L1190" i="2"/>
  <c r="L1189" i="2"/>
  <c r="M1189" i="2" s="1"/>
  <c r="M1188" i="2"/>
  <c r="L1188" i="2"/>
  <c r="L1187" i="2"/>
  <c r="M1187" i="2" s="1"/>
  <c r="M1186" i="2"/>
  <c r="L1186" i="2"/>
  <c r="L1185" i="2"/>
  <c r="M1185" i="2" s="1"/>
  <c r="M1184" i="2"/>
  <c r="L1184" i="2"/>
  <c r="L1183" i="2"/>
  <c r="M1183" i="2" s="1"/>
  <c r="M1182" i="2"/>
  <c r="L1182" i="2"/>
  <c r="L1181" i="2"/>
  <c r="M1181" i="2" s="1"/>
  <c r="M1180" i="2"/>
  <c r="L1180" i="2"/>
  <c r="L1179" i="2"/>
  <c r="M1179" i="2" s="1"/>
  <c r="M1178" i="2"/>
  <c r="L1178" i="2"/>
  <c r="L1177" i="2"/>
  <c r="M1177" i="2" s="1"/>
  <c r="M1176" i="2"/>
  <c r="L1176" i="2"/>
  <c r="L1175" i="2"/>
  <c r="M1175" i="2" s="1"/>
  <c r="M1174" i="2"/>
  <c r="L1174" i="2"/>
  <c r="L1173" i="2"/>
  <c r="M1173" i="2" s="1"/>
  <c r="M1172" i="2"/>
  <c r="L1172" i="2"/>
  <c r="L1171" i="2"/>
  <c r="M1171" i="2" s="1"/>
  <c r="M1170" i="2"/>
  <c r="L1170" i="2"/>
  <c r="L1169" i="2"/>
  <c r="M1169" i="2" s="1"/>
  <c r="M1168" i="2"/>
  <c r="L1168" i="2"/>
  <c r="L1167" i="2"/>
  <c r="M1167" i="2" s="1"/>
  <c r="M1166" i="2"/>
  <c r="L1166" i="2"/>
  <c r="L1165" i="2"/>
  <c r="M1165" i="2" s="1"/>
  <c r="M1164" i="2"/>
  <c r="L1164" i="2"/>
  <c r="L1163" i="2"/>
  <c r="M1163" i="2" s="1"/>
  <c r="M1162" i="2"/>
  <c r="L1162" i="2"/>
  <c r="L1161" i="2"/>
  <c r="M1161" i="2" s="1"/>
  <c r="M1160" i="2"/>
  <c r="L1160" i="2"/>
  <c r="L1159" i="2"/>
  <c r="M1159" i="2" s="1"/>
  <c r="M1158" i="2"/>
  <c r="L1158" i="2"/>
  <c r="L1157" i="2"/>
  <c r="M1157" i="2" s="1"/>
  <c r="M1156" i="2"/>
  <c r="L1156" i="2"/>
  <c r="L1155" i="2"/>
  <c r="M1155" i="2" s="1"/>
  <c r="M1154" i="2"/>
  <c r="L1154" i="2"/>
  <c r="L1153" i="2"/>
  <c r="M1153" i="2" s="1"/>
  <c r="M1152" i="2"/>
  <c r="L1152" i="2"/>
  <c r="L1151" i="2"/>
  <c r="M1151" i="2" s="1"/>
  <c r="M1150" i="2"/>
  <c r="L1150" i="2"/>
  <c r="L1149" i="2"/>
  <c r="M1149" i="2" s="1"/>
  <c r="M1148" i="2"/>
  <c r="L1148" i="2"/>
  <c r="L1147" i="2"/>
  <c r="M1147" i="2" s="1"/>
  <c r="M1146" i="2"/>
  <c r="L1146" i="2"/>
  <c r="L1145" i="2"/>
  <c r="M1145" i="2" s="1"/>
  <c r="M1144" i="2"/>
  <c r="L1144" i="2"/>
  <c r="L1143" i="2"/>
  <c r="M1143" i="2" s="1"/>
  <c r="M1142" i="2"/>
  <c r="L1142" i="2"/>
  <c r="L1141" i="2"/>
  <c r="M1141" i="2" s="1"/>
  <c r="M1140" i="2"/>
  <c r="L1140" i="2"/>
  <c r="L1139" i="2"/>
  <c r="M1139" i="2" s="1"/>
  <c r="M1138" i="2"/>
  <c r="L1138" i="2"/>
  <c r="L1137" i="2"/>
  <c r="M1137" i="2" s="1"/>
  <c r="M1136" i="2"/>
  <c r="L1136" i="2"/>
  <c r="L1135" i="2"/>
  <c r="M1135" i="2" s="1"/>
  <c r="M1134" i="2"/>
  <c r="L1134" i="2"/>
  <c r="L1133" i="2"/>
  <c r="M1133" i="2" s="1"/>
  <c r="M1132" i="2"/>
  <c r="L1132" i="2"/>
  <c r="L1131" i="2"/>
  <c r="M1131" i="2" s="1"/>
  <c r="M1130" i="2"/>
  <c r="L1130" i="2"/>
  <c r="L1129" i="2"/>
  <c r="M1129" i="2" s="1"/>
  <c r="M1128" i="2"/>
  <c r="L1128" i="2"/>
  <c r="L1127" i="2"/>
  <c r="M1127" i="2" s="1"/>
  <c r="M1126" i="2"/>
  <c r="L1126" i="2"/>
  <c r="L1125" i="2"/>
  <c r="M1125" i="2" s="1"/>
  <c r="M1124" i="2"/>
  <c r="L1124" i="2"/>
  <c r="L1123" i="2"/>
  <c r="M1123" i="2" s="1"/>
  <c r="M1122" i="2"/>
  <c r="L1122" i="2"/>
  <c r="L1121" i="2"/>
  <c r="M1121" i="2" s="1"/>
  <c r="M1120" i="2"/>
  <c r="L1120" i="2"/>
  <c r="L1119" i="2"/>
  <c r="M1119" i="2" s="1"/>
  <c r="M1118" i="2"/>
  <c r="L1118" i="2"/>
  <c r="L1117" i="2"/>
  <c r="M1117" i="2" s="1"/>
  <c r="M1116" i="2"/>
  <c r="L1116" i="2"/>
  <c r="L1115" i="2"/>
  <c r="M1115" i="2" s="1"/>
  <c r="M1114" i="2"/>
  <c r="L1114" i="2"/>
  <c r="L1113" i="2"/>
  <c r="M1113" i="2" s="1"/>
  <c r="M1112" i="2"/>
  <c r="L1112" i="2"/>
  <c r="L1111" i="2"/>
  <c r="M1111" i="2" s="1"/>
  <c r="M1110" i="2"/>
  <c r="L1110" i="2"/>
  <c r="L1109" i="2"/>
  <c r="M1109" i="2" s="1"/>
  <c r="M1108" i="2"/>
  <c r="L1108" i="2"/>
  <c r="L1107" i="2"/>
  <c r="M1107" i="2" s="1"/>
  <c r="M1106" i="2"/>
  <c r="L1106" i="2"/>
  <c r="L1105" i="2"/>
  <c r="M1105" i="2" s="1"/>
  <c r="M1104" i="2"/>
  <c r="L1104" i="2"/>
  <c r="L1103" i="2"/>
  <c r="M1103" i="2" s="1"/>
  <c r="M1102" i="2"/>
  <c r="L1102" i="2"/>
  <c r="L1101" i="2"/>
  <c r="M1101" i="2" s="1"/>
  <c r="M1100" i="2"/>
  <c r="L1100" i="2"/>
  <c r="L1099" i="2"/>
  <c r="M1099" i="2" s="1"/>
  <c r="M1098" i="2"/>
  <c r="L1098" i="2"/>
  <c r="L1097" i="2"/>
  <c r="M1097" i="2" s="1"/>
  <c r="M1096" i="2"/>
  <c r="L1096" i="2"/>
  <c r="L1095" i="2"/>
  <c r="M1095" i="2" s="1"/>
  <c r="M1094" i="2"/>
  <c r="L1094" i="2"/>
  <c r="L1093" i="2"/>
  <c r="M1093" i="2" s="1"/>
  <c r="M1092" i="2"/>
  <c r="L1092" i="2"/>
  <c r="L1091" i="2"/>
  <c r="M1091" i="2" s="1"/>
  <c r="M1090" i="2"/>
  <c r="L1090" i="2"/>
  <c r="L1089" i="2"/>
  <c r="M1089" i="2" s="1"/>
  <c r="M1088" i="2"/>
  <c r="L1088" i="2"/>
  <c r="L1087" i="2"/>
  <c r="M1087" i="2" s="1"/>
  <c r="M1086" i="2"/>
  <c r="L1086" i="2"/>
  <c r="L1085" i="2"/>
  <c r="M1085" i="2" s="1"/>
  <c r="M1084" i="2"/>
  <c r="L1084" i="2"/>
  <c r="L1083" i="2"/>
  <c r="M1083" i="2" s="1"/>
  <c r="M1082" i="2"/>
  <c r="L1082" i="2"/>
  <c r="L1081" i="2"/>
  <c r="M1081" i="2" s="1"/>
  <c r="M1080" i="2"/>
  <c r="L1080" i="2"/>
  <c r="L1079" i="2"/>
  <c r="M1079" i="2" s="1"/>
  <c r="M1078" i="2"/>
  <c r="L1078" i="2"/>
  <c r="L1077" i="2"/>
  <c r="M1077" i="2" s="1"/>
  <c r="M1076" i="2"/>
  <c r="L1076" i="2"/>
  <c r="L1075" i="2"/>
  <c r="M1075" i="2" s="1"/>
  <c r="M1074" i="2"/>
  <c r="L1074" i="2"/>
  <c r="L1073" i="2"/>
  <c r="M1073" i="2" s="1"/>
  <c r="M1072" i="2"/>
  <c r="L1072" i="2"/>
  <c r="L1071" i="2"/>
  <c r="M1071" i="2" s="1"/>
  <c r="M1070" i="2"/>
  <c r="L1070" i="2"/>
  <c r="L1069" i="2"/>
  <c r="M1069" i="2" s="1"/>
  <c r="M1068" i="2"/>
  <c r="L1068" i="2"/>
  <c r="L1067" i="2"/>
  <c r="M1067" i="2" s="1"/>
  <c r="M1066" i="2"/>
  <c r="L1066" i="2"/>
  <c r="L1065" i="2"/>
  <c r="M1065" i="2" s="1"/>
  <c r="M1064" i="2"/>
  <c r="L1064" i="2"/>
  <c r="L1063" i="2"/>
  <c r="M1063" i="2" s="1"/>
  <c r="M1062" i="2"/>
  <c r="L1062" i="2"/>
  <c r="L1061" i="2"/>
  <c r="M1061" i="2" s="1"/>
  <c r="M1060" i="2"/>
  <c r="L1060" i="2"/>
  <c r="L1059" i="2"/>
  <c r="M1059" i="2" s="1"/>
  <c r="M1058" i="2"/>
  <c r="L1058" i="2"/>
  <c r="L1057" i="2"/>
  <c r="M1057" i="2" s="1"/>
  <c r="M1056" i="2"/>
  <c r="L1056" i="2"/>
  <c r="L1055" i="2"/>
  <c r="M1055" i="2" s="1"/>
  <c r="M1054" i="2"/>
  <c r="L1054" i="2"/>
  <c r="L1053" i="2"/>
  <c r="M1053" i="2" s="1"/>
  <c r="M1052" i="2"/>
  <c r="L1052" i="2"/>
  <c r="L1051" i="2"/>
  <c r="M1051" i="2" s="1"/>
  <c r="M1050" i="2"/>
  <c r="L1050" i="2"/>
  <c r="L1049" i="2"/>
  <c r="M1049" i="2" s="1"/>
  <c r="M1048" i="2"/>
  <c r="L1048" i="2"/>
  <c r="L1047" i="2"/>
  <c r="M1047" i="2" s="1"/>
  <c r="M1046" i="2"/>
  <c r="L1046" i="2"/>
  <c r="L1045" i="2"/>
  <c r="M1045" i="2" s="1"/>
  <c r="M1044" i="2"/>
  <c r="L1044" i="2"/>
  <c r="L1043" i="2"/>
  <c r="M1043" i="2" s="1"/>
  <c r="M1042" i="2"/>
  <c r="L1042" i="2"/>
  <c r="L1041" i="2"/>
  <c r="M1041" i="2" s="1"/>
  <c r="M1040" i="2"/>
  <c r="L1040" i="2"/>
  <c r="L1039" i="2"/>
  <c r="M1039" i="2" s="1"/>
  <c r="M1038" i="2"/>
  <c r="L1038" i="2"/>
  <c r="L1037" i="2"/>
  <c r="M1037" i="2" s="1"/>
  <c r="M1036" i="2"/>
  <c r="L1036" i="2"/>
  <c r="L1035" i="2"/>
  <c r="M1035" i="2" s="1"/>
  <c r="M1034" i="2"/>
  <c r="L1034" i="2"/>
  <c r="L1033" i="2"/>
  <c r="M1033" i="2" s="1"/>
  <c r="M1032" i="2"/>
  <c r="L1032" i="2"/>
  <c r="L1031" i="2"/>
  <c r="M1031" i="2" s="1"/>
  <c r="M1030" i="2"/>
  <c r="L1030" i="2"/>
  <c r="L1029" i="2"/>
  <c r="M1029" i="2" s="1"/>
  <c r="M1028" i="2"/>
  <c r="L1028" i="2"/>
  <c r="L1027" i="2"/>
  <c r="M1027" i="2" s="1"/>
  <c r="M1026" i="2"/>
  <c r="L1026" i="2"/>
  <c r="L1025" i="2"/>
  <c r="M1025" i="2" s="1"/>
  <c r="M1024" i="2"/>
  <c r="L1024" i="2"/>
  <c r="L1023" i="2"/>
  <c r="M1023" i="2" s="1"/>
  <c r="M1022" i="2"/>
  <c r="L1022" i="2"/>
  <c r="L1021" i="2"/>
  <c r="M1021" i="2" s="1"/>
  <c r="M1020" i="2"/>
  <c r="L1020" i="2"/>
  <c r="L1019" i="2"/>
  <c r="M1019" i="2" s="1"/>
  <c r="M1018" i="2"/>
  <c r="L1018" i="2"/>
  <c r="L1017" i="2"/>
  <c r="M1017" i="2" s="1"/>
  <c r="M1016" i="2"/>
  <c r="L1016" i="2"/>
  <c r="L1015" i="2"/>
  <c r="M1015" i="2" s="1"/>
  <c r="M1014" i="2"/>
  <c r="L1014" i="2"/>
  <c r="L1013" i="2"/>
  <c r="M1013" i="2" s="1"/>
  <c r="M1012" i="2"/>
  <c r="L1012" i="2"/>
  <c r="L1011" i="2"/>
  <c r="M1011" i="2" s="1"/>
  <c r="M1010" i="2"/>
  <c r="L1010" i="2"/>
  <c r="L1009" i="2"/>
  <c r="M1009" i="2" s="1"/>
  <c r="M1008" i="2"/>
  <c r="L1008" i="2"/>
  <c r="L1007" i="2"/>
  <c r="M1007" i="2" s="1"/>
  <c r="M1006" i="2"/>
  <c r="L1006" i="2"/>
  <c r="L1005" i="2"/>
  <c r="M1005" i="2" s="1"/>
  <c r="M1004" i="2"/>
  <c r="L1004" i="2"/>
  <c r="L1003" i="2"/>
  <c r="M1003" i="2" s="1"/>
  <c r="M1002" i="2"/>
  <c r="L1002" i="2"/>
  <c r="L1001" i="2"/>
  <c r="M1001" i="2" s="1"/>
  <c r="M1000" i="2"/>
  <c r="L1000" i="2"/>
  <c r="L999" i="2"/>
  <c r="M999" i="2" s="1"/>
  <c r="M998" i="2"/>
  <c r="L998" i="2"/>
  <c r="L997" i="2"/>
  <c r="M997" i="2" s="1"/>
  <c r="M996" i="2"/>
  <c r="L996" i="2"/>
  <c r="L995" i="2"/>
  <c r="M995" i="2" s="1"/>
  <c r="M994" i="2"/>
  <c r="L994" i="2"/>
  <c r="L993" i="2"/>
  <c r="M993" i="2" s="1"/>
  <c r="M992" i="2"/>
  <c r="L992" i="2"/>
  <c r="L991" i="2"/>
  <c r="M991" i="2" s="1"/>
  <c r="M990" i="2"/>
  <c r="L990" i="2"/>
  <c r="L989" i="2"/>
  <c r="M989" i="2" s="1"/>
  <c r="M988" i="2"/>
  <c r="L988" i="2"/>
  <c r="L987" i="2"/>
  <c r="M987" i="2" s="1"/>
  <c r="M986" i="2"/>
  <c r="L986" i="2"/>
  <c r="L985" i="2"/>
  <c r="M985" i="2" s="1"/>
  <c r="M984" i="2"/>
  <c r="L984" i="2"/>
  <c r="L983" i="2"/>
  <c r="M983" i="2" s="1"/>
  <c r="M982" i="2"/>
  <c r="L982" i="2"/>
  <c r="L981" i="2"/>
  <c r="M981" i="2" s="1"/>
  <c r="M980" i="2"/>
  <c r="L980" i="2"/>
  <c r="L979" i="2"/>
  <c r="M979" i="2" s="1"/>
  <c r="M978" i="2"/>
  <c r="L978" i="2"/>
  <c r="L977" i="2"/>
  <c r="M977" i="2" s="1"/>
  <c r="M976" i="2"/>
  <c r="L976" i="2"/>
  <c r="L975" i="2"/>
  <c r="M975" i="2" s="1"/>
  <c r="M974" i="2"/>
  <c r="L974" i="2"/>
  <c r="L973" i="2"/>
  <c r="M973" i="2" s="1"/>
  <c r="M972" i="2"/>
  <c r="L972" i="2"/>
  <c r="L971" i="2"/>
  <c r="M971" i="2" s="1"/>
  <c r="M970" i="2"/>
  <c r="L970" i="2"/>
  <c r="L969" i="2"/>
  <c r="M969" i="2" s="1"/>
  <c r="M968" i="2"/>
  <c r="L968" i="2"/>
  <c r="L967" i="2"/>
  <c r="M967" i="2" s="1"/>
  <c r="M966" i="2"/>
  <c r="L966" i="2"/>
  <c r="L965" i="2"/>
  <c r="M965" i="2" s="1"/>
  <c r="M964" i="2"/>
  <c r="L964" i="2"/>
  <c r="L963" i="2"/>
  <c r="M963" i="2" s="1"/>
  <c r="M962" i="2"/>
  <c r="L962" i="2"/>
  <c r="L961" i="2"/>
  <c r="M961" i="2" s="1"/>
  <c r="M960" i="2"/>
  <c r="L960" i="2"/>
  <c r="L959" i="2"/>
  <c r="M959" i="2" s="1"/>
  <c r="M958" i="2"/>
  <c r="L958" i="2"/>
  <c r="L957" i="2"/>
  <c r="M957" i="2" s="1"/>
  <c r="M956" i="2"/>
  <c r="L956" i="2"/>
  <c r="L955" i="2"/>
  <c r="M955" i="2" s="1"/>
  <c r="M954" i="2"/>
  <c r="L954" i="2"/>
  <c r="L953" i="2"/>
  <c r="M953" i="2" s="1"/>
  <c r="L952" i="2"/>
  <c r="M952" i="2" s="1"/>
  <c r="L951" i="2"/>
  <c r="M951" i="2" s="1"/>
  <c r="M950" i="2"/>
  <c r="L950" i="2"/>
  <c r="L949" i="2"/>
  <c r="M949" i="2" s="1"/>
  <c r="M948" i="2"/>
  <c r="L948" i="2"/>
  <c r="L947" i="2"/>
  <c r="M947" i="2" s="1"/>
  <c r="L946" i="2"/>
  <c r="M946" i="2" s="1"/>
  <c r="L945" i="2"/>
  <c r="M945" i="2" s="1"/>
  <c r="L944" i="2"/>
  <c r="M944" i="2" s="1"/>
  <c r="L943" i="2"/>
  <c r="M943" i="2" s="1"/>
  <c r="M942" i="2"/>
  <c r="L942" i="2"/>
  <c r="L941" i="2"/>
  <c r="M941" i="2" s="1"/>
  <c r="M940" i="2"/>
  <c r="L940" i="2"/>
  <c r="L939" i="2"/>
  <c r="M939" i="2" s="1"/>
  <c r="L938" i="2"/>
  <c r="M938" i="2" s="1"/>
  <c r="L937" i="2"/>
  <c r="M937" i="2" s="1"/>
  <c r="L936" i="2"/>
  <c r="M936" i="2" s="1"/>
  <c r="L935" i="2"/>
  <c r="M935" i="2" s="1"/>
  <c r="M934" i="2"/>
  <c r="L934" i="2"/>
  <c r="L933" i="2"/>
  <c r="M933" i="2" s="1"/>
  <c r="M932" i="2"/>
  <c r="L932" i="2"/>
  <c r="L931" i="2"/>
  <c r="M931" i="2" s="1"/>
  <c r="L930" i="2"/>
  <c r="M930" i="2" s="1"/>
  <c r="L929" i="2"/>
  <c r="M929" i="2" s="1"/>
  <c r="L928" i="2"/>
  <c r="M928" i="2" s="1"/>
  <c r="L927" i="2"/>
  <c r="M927" i="2" s="1"/>
  <c r="M926" i="2"/>
  <c r="L926" i="2"/>
  <c r="L925" i="2"/>
  <c r="M925" i="2" s="1"/>
  <c r="M924" i="2"/>
  <c r="L924" i="2"/>
  <c r="L923" i="2"/>
  <c r="M923" i="2" s="1"/>
  <c r="L922" i="2"/>
  <c r="M922" i="2" s="1"/>
  <c r="L921" i="2"/>
  <c r="M921" i="2" s="1"/>
  <c r="L920" i="2"/>
  <c r="M920" i="2" s="1"/>
  <c r="L919" i="2"/>
  <c r="M919" i="2" s="1"/>
  <c r="M918" i="2"/>
  <c r="L918" i="2"/>
  <c r="L917" i="2"/>
  <c r="M917" i="2" s="1"/>
  <c r="M916" i="2"/>
  <c r="L916" i="2"/>
  <c r="L915" i="2"/>
  <c r="M915" i="2" s="1"/>
  <c r="L914" i="2"/>
  <c r="M914" i="2" s="1"/>
  <c r="L913" i="2"/>
  <c r="M913" i="2" s="1"/>
  <c r="L912" i="2"/>
  <c r="M912" i="2" s="1"/>
  <c r="L911" i="2"/>
  <c r="M911" i="2" s="1"/>
  <c r="M910" i="2"/>
  <c r="L910" i="2"/>
  <c r="L909" i="2"/>
  <c r="M909" i="2" s="1"/>
  <c r="M908" i="2"/>
  <c r="L908" i="2"/>
  <c r="L907" i="2"/>
  <c r="M907" i="2" s="1"/>
  <c r="L906" i="2"/>
  <c r="M906" i="2" s="1"/>
  <c r="L905" i="2"/>
  <c r="M905" i="2" s="1"/>
  <c r="L904" i="2"/>
  <c r="M904" i="2" s="1"/>
  <c r="L903" i="2"/>
  <c r="M903" i="2" s="1"/>
  <c r="M902" i="2"/>
  <c r="L902" i="2"/>
  <c r="L901" i="2"/>
  <c r="M901" i="2" s="1"/>
  <c r="M900" i="2"/>
  <c r="L900" i="2"/>
  <c r="L899" i="2"/>
  <c r="M899" i="2" s="1"/>
  <c r="L898" i="2"/>
  <c r="M898" i="2" s="1"/>
  <c r="L897" i="2"/>
  <c r="M897" i="2" s="1"/>
  <c r="L896" i="2"/>
  <c r="M896" i="2" s="1"/>
  <c r="L895" i="2"/>
  <c r="M895" i="2" s="1"/>
  <c r="M894" i="2"/>
  <c r="L894" i="2"/>
  <c r="L893" i="2"/>
  <c r="M893" i="2" s="1"/>
  <c r="M892" i="2"/>
  <c r="L892" i="2"/>
  <c r="L891" i="2"/>
  <c r="M891" i="2" s="1"/>
  <c r="L890" i="2"/>
  <c r="M890" i="2" s="1"/>
  <c r="L889" i="2"/>
  <c r="M889" i="2" s="1"/>
  <c r="L888" i="2"/>
  <c r="M888" i="2" s="1"/>
  <c r="L887" i="2"/>
  <c r="M887" i="2" s="1"/>
  <c r="M886" i="2"/>
  <c r="L886" i="2"/>
  <c r="L885" i="2"/>
  <c r="M885" i="2" s="1"/>
  <c r="M884" i="2"/>
  <c r="L884" i="2"/>
  <c r="L883" i="2"/>
  <c r="M883" i="2" s="1"/>
  <c r="L882" i="2"/>
  <c r="M882" i="2" s="1"/>
  <c r="L881" i="2"/>
  <c r="M881" i="2" s="1"/>
  <c r="L880" i="2"/>
  <c r="M880" i="2" s="1"/>
  <c r="L879" i="2"/>
  <c r="M879" i="2" s="1"/>
  <c r="M878" i="2"/>
  <c r="L878" i="2"/>
  <c r="L877" i="2"/>
  <c r="M877" i="2" s="1"/>
  <c r="M876" i="2"/>
  <c r="L876" i="2"/>
  <c r="L875" i="2"/>
  <c r="M875" i="2" s="1"/>
  <c r="L874" i="2"/>
  <c r="M874" i="2" s="1"/>
  <c r="L873" i="2"/>
  <c r="M873" i="2" s="1"/>
  <c r="L872" i="2"/>
  <c r="M872" i="2" s="1"/>
  <c r="L871" i="2"/>
  <c r="M871" i="2" s="1"/>
  <c r="M870" i="2"/>
  <c r="L870" i="2"/>
  <c r="L869" i="2"/>
  <c r="M869" i="2" s="1"/>
  <c r="M868" i="2"/>
  <c r="L868" i="2"/>
  <c r="L867" i="2"/>
  <c r="M867" i="2" s="1"/>
  <c r="L866" i="2"/>
  <c r="M866" i="2" s="1"/>
  <c r="L865" i="2"/>
  <c r="M865" i="2" s="1"/>
  <c r="L864" i="2"/>
  <c r="M864" i="2" s="1"/>
  <c r="L863" i="2"/>
  <c r="M863" i="2" s="1"/>
  <c r="M862" i="2"/>
  <c r="L862" i="2"/>
  <c r="L861" i="2"/>
  <c r="M861" i="2" s="1"/>
  <c r="M860" i="2"/>
  <c r="L860" i="2"/>
  <c r="L859" i="2"/>
  <c r="M859" i="2" s="1"/>
  <c r="L858" i="2"/>
  <c r="M858" i="2" s="1"/>
  <c r="L857" i="2"/>
  <c r="M857" i="2" s="1"/>
  <c r="L856" i="2"/>
  <c r="M856" i="2" s="1"/>
  <c r="L855" i="2"/>
  <c r="M855" i="2" s="1"/>
  <c r="M854" i="2"/>
  <c r="L854" i="2"/>
  <c r="L853" i="2"/>
  <c r="M853" i="2" s="1"/>
  <c r="M852" i="2"/>
  <c r="L852" i="2"/>
  <c r="L851" i="2"/>
  <c r="M851" i="2" s="1"/>
  <c r="L850" i="2"/>
  <c r="M850" i="2" s="1"/>
  <c r="L849" i="2"/>
  <c r="M849" i="2" s="1"/>
  <c r="L848" i="2"/>
  <c r="M848" i="2" s="1"/>
  <c r="L847" i="2"/>
  <c r="M847" i="2" s="1"/>
  <c r="M846" i="2"/>
  <c r="L846" i="2"/>
  <c r="L845" i="2"/>
  <c r="M845" i="2" s="1"/>
  <c r="M844" i="2"/>
  <c r="L844" i="2"/>
  <c r="L843" i="2"/>
  <c r="M843" i="2" s="1"/>
  <c r="L842" i="2"/>
  <c r="M842" i="2" s="1"/>
  <c r="L841" i="2"/>
  <c r="M841" i="2" s="1"/>
  <c r="L840" i="2"/>
  <c r="M840" i="2" s="1"/>
  <c r="L839" i="2"/>
  <c r="M839" i="2" s="1"/>
  <c r="M838" i="2"/>
  <c r="L838" i="2"/>
  <c r="L837" i="2"/>
  <c r="M837" i="2" s="1"/>
  <c r="M836" i="2"/>
  <c r="L836" i="2"/>
  <c r="L835" i="2"/>
  <c r="M835" i="2" s="1"/>
  <c r="L834" i="2"/>
  <c r="M834" i="2" s="1"/>
  <c r="L833" i="2"/>
  <c r="M833" i="2" s="1"/>
  <c r="L832" i="2"/>
  <c r="M832" i="2" s="1"/>
  <c r="L831" i="2"/>
  <c r="M831" i="2" s="1"/>
  <c r="M830" i="2"/>
  <c r="L830" i="2"/>
  <c r="L829" i="2"/>
  <c r="M829" i="2" s="1"/>
  <c r="M828" i="2"/>
  <c r="L828" i="2"/>
  <c r="L827" i="2"/>
  <c r="M827" i="2" s="1"/>
  <c r="L826" i="2"/>
  <c r="M826" i="2" s="1"/>
  <c r="L825" i="2"/>
  <c r="M825" i="2" s="1"/>
  <c r="L824" i="2"/>
  <c r="M824" i="2" s="1"/>
  <c r="L823" i="2"/>
  <c r="M823" i="2" s="1"/>
  <c r="M822" i="2"/>
  <c r="L822" i="2"/>
  <c r="L821" i="2"/>
  <c r="M821" i="2" s="1"/>
  <c r="M820" i="2"/>
  <c r="L820" i="2"/>
  <c r="L819" i="2"/>
  <c r="M819" i="2" s="1"/>
  <c r="L818" i="2"/>
  <c r="M818" i="2" s="1"/>
  <c r="L817" i="2"/>
  <c r="M817" i="2" s="1"/>
  <c r="L816" i="2"/>
  <c r="M816" i="2" s="1"/>
  <c r="L815" i="2"/>
  <c r="M815" i="2" s="1"/>
  <c r="M814" i="2"/>
  <c r="L814" i="2"/>
  <c r="L813" i="2"/>
  <c r="M813" i="2" s="1"/>
  <c r="M812" i="2"/>
  <c r="L812" i="2"/>
  <c r="L811" i="2"/>
  <c r="M811" i="2" s="1"/>
  <c r="L810" i="2"/>
  <c r="M810" i="2" s="1"/>
  <c r="L809" i="2"/>
  <c r="M809" i="2" s="1"/>
  <c r="L808" i="2"/>
  <c r="M808" i="2" s="1"/>
  <c r="L807" i="2"/>
  <c r="M807" i="2" s="1"/>
  <c r="M806" i="2"/>
  <c r="L806" i="2"/>
  <c r="L805" i="2"/>
  <c r="M805" i="2" s="1"/>
  <c r="M804" i="2"/>
  <c r="L804" i="2"/>
  <c r="L803" i="2"/>
  <c r="M803" i="2" s="1"/>
  <c r="L802" i="2"/>
  <c r="M802" i="2" s="1"/>
  <c r="L801" i="2"/>
  <c r="M801" i="2" s="1"/>
  <c r="L800" i="2"/>
  <c r="M800" i="2" s="1"/>
  <c r="L799" i="2"/>
  <c r="M799" i="2" s="1"/>
  <c r="M798" i="2"/>
  <c r="L798" i="2"/>
  <c r="L797" i="2"/>
  <c r="M797" i="2" s="1"/>
  <c r="M796" i="2"/>
  <c r="L796" i="2"/>
  <c r="L795" i="2"/>
  <c r="M795" i="2" s="1"/>
  <c r="L794" i="2"/>
  <c r="M794" i="2" s="1"/>
  <c r="L793" i="2"/>
  <c r="M793" i="2" s="1"/>
  <c r="L792" i="2"/>
  <c r="M792" i="2" s="1"/>
  <c r="L791" i="2"/>
  <c r="M791" i="2" s="1"/>
  <c r="M790" i="2"/>
  <c r="L790" i="2"/>
  <c r="L789" i="2"/>
  <c r="M789" i="2" s="1"/>
  <c r="M788" i="2"/>
  <c r="L788" i="2"/>
  <c r="L787" i="2"/>
  <c r="M787" i="2" s="1"/>
  <c r="L786" i="2"/>
  <c r="M786" i="2" s="1"/>
  <c r="L785" i="2"/>
  <c r="M785" i="2" s="1"/>
  <c r="L784" i="2"/>
  <c r="M784" i="2" s="1"/>
  <c r="L783" i="2"/>
  <c r="M783" i="2" s="1"/>
  <c r="M782" i="2"/>
  <c r="L782" i="2"/>
  <c r="L781" i="2"/>
  <c r="M781" i="2" s="1"/>
  <c r="M780" i="2"/>
  <c r="L780" i="2"/>
  <c r="L779" i="2"/>
  <c r="M779" i="2" s="1"/>
  <c r="L778" i="2"/>
  <c r="M778" i="2" s="1"/>
  <c r="L777" i="2"/>
  <c r="M777" i="2" s="1"/>
  <c r="L776" i="2"/>
  <c r="M776" i="2" s="1"/>
  <c r="L775" i="2"/>
  <c r="M775" i="2" s="1"/>
  <c r="M774" i="2"/>
  <c r="L774" i="2"/>
  <c r="L773" i="2"/>
  <c r="M773" i="2" s="1"/>
  <c r="M772" i="2"/>
  <c r="L772" i="2"/>
  <c r="L771" i="2"/>
  <c r="M771" i="2" s="1"/>
  <c r="L770" i="2"/>
  <c r="M770" i="2" s="1"/>
  <c r="L769" i="2"/>
  <c r="M769" i="2" s="1"/>
  <c r="L768" i="2"/>
  <c r="M768" i="2" s="1"/>
  <c r="L767" i="2"/>
  <c r="M767" i="2" s="1"/>
  <c r="M766" i="2"/>
  <c r="L766" i="2"/>
  <c r="L765" i="2"/>
  <c r="M765" i="2" s="1"/>
  <c r="M764" i="2"/>
  <c r="L764" i="2"/>
  <c r="L763" i="2"/>
  <c r="M763" i="2" s="1"/>
  <c r="L762" i="2"/>
  <c r="M762" i="2" s="1"/>
  <c r="L761" i="2"/>
  <c r="M761" i="2" s="1"/>
  <c r="L760" i="2"/>
  <c r="M760" i="2" s="1"/>
  <c r="L759" i="2"/>
  <c r="M759" i="2" s="1"/>
  <c r="M758" i="2"/>
  <c r="L758" i="2"/>
  <c r="L757" i="2"/>
  <c r="M757" i="2" s="1"/>
  <c r="M756" i="2"/>
  <c r="L756" i="2"/>
  <c r="L755" i="2"/>
  <c r="M755" i="2" s="1"/>
  <c r="L754" i="2"/>
  <c r="M754" i="2" s="1"/>
  <c r="L753" i="2"/>
  <c r="M753" i="2" s="1"/>
  <c r="L752" i="2"/>
  <c r="M752" i="2" s="1"/>
  <c r="L751" i="2"/>
  <c r="M751" i="2" s="1"/>
  <c r="M750" i="2"/>
  <c r="L750" i="2"/>
  <c r="L749" i="2"/>
  <c r="M749" i="2" s="1"/>
  <c r="M748" i="2"/>
  <c r="L748" i="2"/>
  <c r="L747" i="2"/>
  <c r="M747" i="2" s="1"/>
  <c r="L746" i="2"/>
  <c r="M746" i="2" s="1"/>
  <c r="L745" i="2"/>
  <c r="M745" i="2" s="1"/>
  <c r="L744" i="2"/>
  <c r="M744" i="2" s="1"/>
  <c r="L743" i="2"/>
  <c r="M743" i="2" s="1"/>
  <c r="M742" i="2"/>
  <c r="L742" i="2"/>
  <c r="L741" i="2"/>
  <c r="M741" i="2" s="1"/>
  <c r="M740" i="2"/>
  <c r="L740" i="2"/>
  <c r="L739" i="2"/>
  <c r="M739" i="2" s="1"/>
  <c r="L738" i="2"/>
  <c r="M738" i="2" s="1"/>
  <c r="L737" i="2"/>
  <c r="M737" i="2" s="1"/>
  <c r="L736" i="2"/>
  <c r="M736" i="2" s="1"/>
  <c r="L735" i="2"/>
  <c r="M735" i="2" s="1"/>
  <c r="M734" i="2"/>
  <c r="L734" i="2"/>
  <c r="L733" i="2"/>
  <c r="M733" i="2" s="1"/>
  <c r="M732" i="2"/>
  <c r="L732" i="2"/>
  <c r="L731" i="2"/>
  <c r="M731" i="2" s="1"/>
  <c r="L730" i="2"/>
  <c r="M730" i="2" s="1"/>
  <c r="L729" i="2"/>
  <c r="M729" i="2" s="1"/>
  <c r="L728" i="2"/>
  <c r="M728" i="2" s="1"/>
  <c r="L727" i="2"/>
  <c r="M727" i="2" s="1"/>
  <c r="M726" i="2"/>
  <c r="L726" i="2"/>
  <c r="L725" i="2"/>
  <c r="M725" i="2" s="1"/>
  <c r="M724" i="2"/>
  <c r="L724" i="2"/>
  <c r="L723" i="2"/>
  <c r="M723" i="2" s="1"/>
  <c r="L722" i="2"/>
  <c r="M722" i="2" s="1"/>
  <c r="L721" i="2"/>
  <c r="M721" i="2" s="1"/>
  <c r="L720" i="2"/>
  <c r="M720" i="2" s="1"/>
  <c r="L719" i="2"/>
  <c r="M719" i="2" s="1"/>
  <c r="M718" i="2"/>
  <c r="L718" i="2"/>
  <c r="L717" i="2"/>
  <c r="M717" i="2" s="1"/>
  <c r="M716" i="2"/>
  <c r="L716" i="2"/>
  <c r="L715" i="2"/>
  <c r="M715" i="2" s="1"/>
  <c r="L714" i="2"/>
  <c r="M714" i="2" s="1"/>
  <c r="L713" i="2"/>
  <c r="M713" i="2" s="1"/>
  <c r="L712" i="2"/>
  <c r="M712" i="2" s="1"/>
  <c r="L711" i="2"/>
  <c r="M711" i="2" s="1"/>
  <c r="M710" i="2"/>
  <c r="L710" i="2"/>
  <c r="L709" i="2"/>
  <c r="M709" i="2" s="1"/>
  <c r="M708" i="2"/>
  <c r="L708" i="2"/>
  <c r="L707" i="2"/>
  <c r="M707" i="2" s="1"/>
  <c r="L706" i="2"/>
  <c r="M706" i="2" s="1"/>
  <c r="L705" i="2"/>
  <c r="M705" i="2" s="1"/>
  <c r="L704" i="2"/>
  <c r="M704" i="2" s="1"/>
  <c r="L703" i="2"/>
  <c r="M703" i="2" s="1"/>
  <c r="M702" i="2"/>
  <c r="L702" i="2"/>
  <c r="L701" i="2"/>
  <c r="M701" i="2" s="1"/>
  <c r="M700" i="2"/>
  <c r="L700" i="2"/>
  <c r="L699" i="2"/>
  <c r="M699" i="2" s="1"/>
  <c r="L698" i="2"/>
  <c r="M698" i="2" s="1"/>
  <c r="L697" i="2"/>
  <c r="M697" i="2" s="1"/>
  <c r="L696" i="2"/>
  <c r="M696" i="2" s="1"/>
  <c r="L695" i="2"/>
  <c r="M695" i="2" s="1"/>
  <c r="M694" i="2"/>
  <c r="L694" i="2"/>
  <c r="L693" i="2"/>
  <c r="M693" i="2" s="1"/>
  <c r="M692" i="2"/>
  <c r="L692" i="2"/>
  <c r="L691" i="2"/>
  <c r="M691" i="2" s="1"/>
  <c r="L690" i="2"/>
  <c r="M690" i="2" s="1"/>
  <c r="L689" i="2"/>
  <c r="M689" i="2" s="1"/>
  <c r="L688" i="2"/>
  <c r="M688" i="2" s="1"/>
  <c r="L687" i="2"/>
  <c r="M687" i="2" s="1"/>
  <c r="M686" i="2"/>
  <c r="L686" i="2"/>
  <c r="L685" i="2"/>
  <c r="M685" i="2" s="1"/>
  <c r="M684" i="2"/>
  <c r="L684" i="2"/>
  <c r="L683" i="2"/>
  <c r="M683" i="2" s="1"/>
  <c r="L682" i="2"/>
  <c r="M682" i="2" s="1"/>
  <c r="L681" i="2"/>
  <c r="M681" i="2" s="1"/>
  <c r="L680" i="2"/>
  <c r="M680" i="2" s="1"/>
  <c r="L679" i="2"/>
  <c r="M679" i="2" s="1"/>
  <c r="M678" i="2"/>
  <c r="L678" i="2"/>
  <c r="L677" i="2"/>
  <c r="M677" i="2" s="1"/>
  <c r="M676" i="2"/>
  <c r="L676" i="2"/>
  <c r="L675" i="2"/>
  <c r="M675" i="2" s="1"/>
  <c r="L674" i="2"/>
  <c r="M674" i="2" s="1"/>
  <c r="L673" i="2"/>
  <c r="M673" i="2" s="1"/>
  <c r="L672" i="2"/>
  <c r="M672" i="2" s="1"/>
  <c r="L671" i="2"/>
  <c r="M671" i="2" s="1"/>
  <c r="M670" i="2"/>
  <c r="L670" i="2"/>
  <c r="L669" i="2"/>
  <c r="M669" i="2" s="1"/>
  <c r="M668" i="2"/>
  <c r="L668" i="2"/>
  <c r="L667" i="2"/>
  <c r="M667" i="2" s="1"/>
  <c r="L666" i="2"/>
  <c r="M666" i="2" s="1"/>
  <c r="L665" i="2"/>
  <c r="M665" i="2" s="1"/>
  <c r="L664" i="2"/>
  <c r="M664" i="2" s="1"/>
  <c r="L663" i="2"/>
  <c r="M663" i="2" s="1"/>
  <c r="M662" i="2"/>
  <c r="L662" i="2"/>
  <c r="L661" i="2"/>
  <c r="M661" i="2" s="1"/>
  <c r="M660" i="2"/>
  <c r="L660" i="2"/>
  <c r="L659" i="2"/>
  <c r="M659" i="2" s="1"/>
  <c r="L658" i="2"/>
  <c r="M658" i="2" s="1"/>
  <c r="L657" i="2"/>
  <c r="M657" i="2" s="1"/>
  <c r="L656" i="2"/>
  <c r="M656" i="2" s="1"/>
  <c r="L655" i="2"/>
  <c r="M655" i="2" s="1"/>
  <c r="M654" i="2"/>
  <c r="L654" i="2"/>
  <c r="L653" i="2"/>
  <c r="M653" i="2" s="1"/>
  <c r="M652" i="2"/>
  <c r="L652" i="2"/>
  <c r="L651" i="2"/>
  <c r="M651" i="2" s="1"/>
  <c r="L650" i="2"/>
  <c r="M650" i="2" s="1"/>
  <c r="L649" i="2"/>
  <c r="M649" i="2" s="1"/>
  <c r="L648" i="2"/>
  <c r="M648" i="2" s="1"/>
  <c r="L647" i="2"/>
  <c r="M647" i="2" s="1"/>
  <c r="M646" i="2"/>
  <c r="L646" i="2"/>
  <c r="L645" i="2"/>
  <c r="M645" i="2" s="1"/>
  <c r="M644" i="2"/>
  <c r="L644" i="2"/>
  <c r="L643" i="2"/>
  <c r="M643" i="2" s="1"/>
  <c r="L642" i="2"/>
  <c r="M642" i="2" s="1"/>
  <c r="L641" i="2"/>
  <c r="M641" i="2" s="1"/>
  <c r="L640" i="2"/>
  <c r="M640" i="2" s="1"/>
  <c r="L639" i="2"/>
  <c r="M639" i="2" s="1"/>
  <c r="M638" i="2"/>
  <c r="L638" i="2"/>
  <c r="L637" i="2"/>
  <c r="M637" i="2" s="1"/>
  <c r="M636" i="2"/>
  <c r="L636" i="2"/>
  <c r="L635" i="2"/>
  <c r="M635" i="2" s="1"/>
  <c r="L634" i="2"/>
  <c r="M634" i="2" s="1"/>
  <c r="L633" i="2"/>
  <c r="M633" i="2" s="1"/>
  <c r="L632" i="2"/>
  <c r="M632" i="2" s="1"/>
  <c r="L631" i="2"/>
  <c r="M631" i="2" s="1"/>
  <c r="M630" i="2"/>
  <c r="L630" i="2"/>
  <c r="L629" i="2"/>
  <c r="M629" i="2" s="1"/>
  <c r="M628" i="2"/>
  <c r="L628" i="2"/>
  <c r="L627" i="2"/>
  <c r="M627" i="2" s="1"/>
  <c r="L626" i="2"/>
  <c r="M626" i="2" s="1"/>
  <c r="L625" i="2"/>
  <c r="M625" i="2" s="1"/>
  <c r="L624" i="2"/>
  <c r="M624" i="2" s="1"/>
  <c r="L623" i="2"/>
  <c r="M623" i="2" s="1"/>
  <c r="M622" i="2"/>
  <c r="L622" i="2"/>
  <c r="L621" i="2"/>
  <c r="M621" i="2" s="1"/>
  <c r="M620" i="2"/>
  <c r="L620" i="2"/>
  <c r="L619" i="2"/>
  <c r="M619" i="2" s="1"/>
  <c r="L618" i="2"/>
  <c r="M618" i="2" s="1"/>
  <c r="L617" i="2"/>
  <c r="M617" i="2" s="1"/>
  <c r="L616" i="2"/>
  <c r="M616" i="2" s="1"/>
  <c r="L615" i="2"/>
  <c r="M615" i="2" s="1"/>
  <c r="M614" i="2"/>
  <c r="L614" i="2"/>
  <c r="L613" i="2"/>
  <c r="M613" i="2" s="1"/>
  <c r="M612" i="2"/>
  <c r="L612" i="2"/>
  <c r="L611" i="2"/>
  <c r="M611" i="2" s="1"/>
  <c r="L610" i="2"/>
  <c r="M610" i="2" s="1"/>
  <c r="L609" i="2"/>
  <c r="M609" i="2" s="1"/>
  <c r="L608" i="2"/>
  <c r="M608" i="2" s="1"/>
  <c r="L607" i="2"/>
  <c r="M607" i="2" s="1"/>
  <c r="M606" i="2"/>
  <c r="L606" i="2"/>
  <c r="L605" i="2"/>
  <c r="M605" i="2" s="1"/>
  <c r="M604" i="2"/>
  <c r="L604" i="2"/>
  <c r="L603" i="2"/>
  <c r="M603" i="2" s="1"/>
  <c r="L602" i="2"/>
  <c r="M602" i="2" s="1"/>
  <c r="L601" i="2"/>
  <c r="M601" i="2" s="1"/>
  <c r="L600" i="2"/>
  <c r="M600" i="2" s="1"/>
  <c r="L599" i="2"/>
  <c r="M599" i="2" s="1"/>
  <c r="M598" i="2"/>
  <c r="L598" i="2"/>
  <c r="L597" i="2"/>
  <c r="M597" i="2" s="1"/>
  <c r="M596" i="2"/>
  <c r="L596" i="2"/>
  <c r="L595" i="2"/>
  <c r="M595" i="2" s="1"/>
  <c r="M594" i="2"/>
  <c r="L594" i="2"/>
  <c r="L593" i="2"/>
  <c r="M593" i="2" s="1"/>
  <c r="M592" i="2"/>
  <c r="L592" i="2"/>
  <c r="L591" i="2"/>
  <c r="M591" i="2" s="1"/>
  <c r="M590" i="2"/>
  <c r="L590" i="2"/>
  <c r="L589" i="2"/>
  <c r="M589" i="2" s="1"/>
  <c r="M588" i="2"/>
  <c r="L588" i="2"/>
  <c r="L587" i="2"/>
  <c r="M587" i="2" s="1"/>
  <c r="M586" i="2"/>
  <c r="L586" i="2"/>
  <c r="L585" i="2"/>
  <c r="M585" i="2" s="1"/>
  <c r="M584" i="2"/>
  <c r="L584" i="2"/>
  <c r="L583" i="2"/>
  <c r="M583" i="2" s="1"/>
  <c r="M582" i="2"/>
  <c r="L582" i="2"/>
  <c r="L581" i="2"/>
  <c r="M581" i="2" s="1"/>
  <c r="M580" i="2"/>
  <c r="L580" i="2"/>
  <c r="L579" i="2"/>
  <c r="M579" i="2" s="1"/>
  <c r="M578" i="2"/>
  <c r="L578" i="2"/>
  <c r="L577" i="2"/>
  <c r="M577" i="2" s="1"/>
  <c r="M576" i="2"/>
  <c r="L576" i="2"/>
  <c r="L575" i="2"/>
  <c r="M575" i="2" s="1"/>
  <c r="M574" i="2"/>
  <c r="L574" i="2"/>
  <c r="L573" i="2"/>
  <c r="M573" i="2" s="1"/>
  <c r="M572" i="2"/>
  <c r="L572" i="2"/>
  <c r="L571" i="2"/>
  <c r="M571" i="2" s="1"/>
  <c r="M570" i="2"/>
  <c r="L570" i="2"/>
  <c r="L569" i="2"/>
  <c r="M569" i="2" s="1"/>
  <c r="M568" i="2"/>
  <c r="L568" i="2"/>
  <c r="L567" i="2"/>
  <c r="M567" i="2" s="1"/>
  <c r="M566" i="2"/>
  <c r="L566" i="2"/>
  <c r="L565" i="2"/>
  <c r="M565" i="2" s="1"/>
  <c r="M564" i="2"/>
  <c r="L564" i="2"/>
  <c r="L563" i="2"/>
  <c r="M563" i="2" s="1"/>
  <c r="M562" i="2"/>
  <c r="L562" i="2"/>
  <c r="L561" i="2"/>
  <c r="M561" i="2" s="1"/>
  <c r="M560" i="2"/>
  <c r="L560" i="2"/>
  <c r="L559" i="2"/>
  <c r="M559" i="2" s="1"/>
  <c r="M558" i="2"/>
  <c r="L558" i="2"/>
  <c r="L557" i="2"/>
  <c r="M557" i="2" s="1"/>
  <c r="M556" i="2"/>
  <c r="L556" i="2"/>
  <c r="L555" i="2"/>
  <c r="M555" i="2" s="1"/>
  <c r="M554" i="2"/>
  <c r="L554" i="2"/>
  <c r="L553" i="2"/>
  <c r="M553" i="2" s="1"/>
  <c r="M552" i="2"/>
  <c r="L552" i="2"/>
  <c r="L551" i="2"/>
  <c r="M551" i="2" s="1"/>
  <c r="M550" i="2"/>
  <c r="L550" i="2"/>
  <c r="L549" i="2"/>
  <c r="M549" i="2" s="1"/>
  <c r="M548" i="2"/>
  <c r="L548" i="2"/>
  <c r="L547" i="2"/>
  <c r="M547" i="2" s="1"/>
  <c r="M546" i="2"/>
  <c r="L546" i="2"/>
  <c r="L545" i="2"/>
  <c r="M545" i="2" s="1"/>
  <c r="M544" i="2"/>
  <c r="L544" i="2"/>
  <c r="L543" i="2"/>
  <c r="M543" i="2" s="1"/>
  <c r="M542" i="2"/>
  <c r="L542" i="2"/>
  <c r="L541" i="2"/>
  <c r="M541" i="2" s="1"/>
  <c r="M540" i="2"/>
  <c r="L540" i="2"/>
  <c r="L539" i="2"/>
  <c r="M539" i="2" s="1"/>
  <c r="M538" i="2"/>
  <c r="L538" i="2"/>
  <c r="L537" i="2"/>
  <c r="M537" i="2" s="1"/>
  <c r="M536" i="2"/>
  <c r="L536" i="2"/>
  <c r="L535" i="2"/>
  <c r="M535" i="2" s="1"/>
  <c r="M534" i="2"/>
  <c r="L534" i="2"/>
  <c r="L533" i="2"/>
  <c r="M533" i="2" s="1"/>
  <c r="M532" i="2"/>
  <c r="L532" i="2"/>
  <c r="L531" i="2"/>
  <c r="M531" i="2" s="1"/>
  <c r="M530" i="2"/>
  <c r="L530" i="2"/>
  <c r="L529" i="2"/>
  <c r="M529" i="2" s="1"/>
  <c r="M528" i="2"/>
  <c r="L528" i="2"/>
  <c r="L527" i="2"/>
  <c r="M527" i="2" s="1"/>
  <c r="M526" i="2"/>
  <c r="L526" i="2"/>
  <c r="L525" i="2"/>
  <c r="M525" i="2" s="1"/>
  <c r="M524" i="2"/>
  <c r="L524" i="2"/>
  <c r="L523" i="2"/>
  <c r="M523" i="2" s="1"/>
  <c r="M522" i="2"/>
  <c r="L522" i="2"/>
  <c r="L521" i="2"/>
  <c r="M521" i="2" s="1"/>
  <c r="M520" i="2"/>
  <c r="L520" i="2"/>
  <c r="L519" i="2"/>
  <c r="M519" i="2" s="1"/>
  <c r="M518" i="2"/>
  <c r="L518" i="2"/>
  <c r="L517" i="2"/>
  <c r="M517" i="2" s="1"/>
  <c r="M516" i="2"/>
  <c r="L516" i="2"/>
  <c r="L515" i="2"/>
  <c r="M515" i="2" s="1"/>
  <c r="M514" i="2"/>
  <c r="L514" i="2"/>
  <c r="L513" i="2"/>
  <c r="M513" i="2" s="1"/>
  <c r="M512" i="2"/>
  <c r="L512" i="2"/>
  <c r="L511" i="2"/>
  <c r="M511" i="2" s="1"/>
  <c r="M510" i="2"/>
  <c r="L510" i="2"/>
  <c r="L509" i="2"/>
  <c r="M509" i="2" s="1"/>
  <c r="M508" i="2"/>
  <c r="L508" i="2"/>
  <c r="L507" i="2"/>
  <c r="M507" i="2" s="1"/>
  <c r="M506" i="2"/>
  <c r="L506" i="2"/>
  <c r="L505" i="2"/>
  <c r="M505" i="2" s="1"/>
  <c r="M504" i="2"/>
  <c r="L504" i="2"/>
  <c r="L503" i="2"/>
  <c r="M503" i="2" s="1"/>
  <c r="M502" i="2"/>
  <c r="L502" i="2"/>
  <c r="L501" i="2"/>
  <c r="M501" i="2" s="1"/>
  <c r="M500" i="2"/>
  <c r="L500" i="2"/>
  <c r="L499" i="2"/>
  <c r="M499" i="2" s="1"/>
  <c r="M498" i="2"/>
  <c r="L498" i="2"/>
  <c r="L497" i="2"/>
  <c r="M497" i="2" s="1"/>
  <c r="M496" i="2"/>
  <c r="L496" i="2"/>
  <c r="L495" i="2"/>
  <c r="M495" i="2" s="1"/>
  <c r="M494" i="2"/>
  <c r="L494" i="2"/>
  <c r="L493" i="2"/>
  <c r="M493" i="2" s="1"/>
  <c r="M492" i="2"/>
  <c r="L492" i="2"/>
  <c r="L491" i="2"/>
  <c r="M491" i="2" s="1"/>
  <c r="M490" i="2"/>
  <c r="L490" i="2"/>
  <c r="L489" i="2"/>
  <c r="M489" i="2" s="1"/>
  <c r="M488" i="2"/>
  <c r="L488" i="2"/>
  <c r="L487" i="2"/>
  <c r="M487" i="2" s="1"/>
  <c r="M486" i="2"/>
  <c r="L486" i="2"/>
  <c r="L485" i="2"/>
  <c r="M485" i="2" s="1"/>
  <c r="M484" i="2"/>
  <c r="L484" i="2"/>
  <c r="L483" i="2"/>
  <c r="M483" i="2" s="1"/>
  <c r="M482" i="2"/>
  <c r="L482" i="2"/>
  <c r="L481" i="2"/>
  <c r="M481" i="2" s="1"/>
  <c r="M480" i="2"/>
  <c r="L480" i="2"/>
  <c r="L479" i="2"/>
  <c r="M479" i="2" s="1"/>
  <c r="M478" i="2"/>
  <c r="L478" i="2"/>
  <c r="L477" i="2"/>
  <c r="M477" i="2" s="1"/>
  <c r="M476" i="2"/>
  <c r="L476" i="2"/>
  <c r="L475" i="2"/>
  <c r="M475" i="2" s="1"/>
  <c r="M474" i="2"/>
  <c r="L474" i="2"/>
  <c r="L473" i="2"/>
  <c r="M473" i="2" s="1"/>
  <c r="M472" i="2"/>
  <c r="L472" i="2"/>
  <c r="L471" i="2"/>
  <c r="M471" i="2" s="1"/>
  <c r="M470" i="2"/>
  <c r="L470" i="2"/>
  <c r="L469" i="2"/>
  <c r="M469" i="2" s="1"/>
  <c r="M468" i="2"/>
  <c r="L468" i="2"/>
  <c r="L467" i="2"/>
  <c r="M467" i="2" s="1"/>
  <c r="M466" i="2"/>
  <c r="L466" i="2"/>
  <c r="L465" i="2"/>
  <c r="M465" i="2" s="1"/>
  <c r="M464" i="2"/>
  <c r="L464" i="2"/>
  <c r="L463" i="2"/>
  <c r="M463" i="2" s="1"/>
  <c r="M462" i="2"/>
  <c r="L462" i="2"/>
  <c r="L461" i="2"/>
  <c r="M461" i="2" s="1"/>
  <c r="M460" i="2"/>
  <c r="L460" i="2"/>
  <c r="L459" i="2"/>
  <c r="M459" i="2" s="1"/>
  <c r="M458" i="2"/>
  <c r="L458" i="2"/>
  <c r="L457" i="2"/>
  <c r="M457" i="2" s="1"/>
  <c r="M456" i="2"/>
  <c r="L456" i="2"/>
  <c r="L455" i="2"/>
  <c r="M455" i="2" s="1"/>
  <c r="M454" i="2"/>
  <c r="L454" i="2"/>
  <c r="L453" i="2"/>
  <c r="M453" i="2" s="1"/>
  <c r="M452" i="2"/>
  <c r="L452" i="2"/>
  <c r="L451" i="2"/>
  <c r="M451" i="2" s="1"/>
  <c r="M450" i="2"/>
  <c r="L450" i="2"/>
  <c r="L449" i="2"/>
  <c r="M449" i="2" s="1"/>
  <c r="M448" i="2"/>
  <c r="L448" i="2"/>
  <c r="L447" i="2"/>
  <c r="M447" i="2" s="1"/>
  <c r="M446" i="2"/>
  <c r="L446" i="2"/>
  <c r="L445" i="2"/>
  <c r="M445" i="2" s="1"/>
  <c r="M444" i="2"/>
  <c r="L444" i="2"/>
  <c r="L443" i="2"/>
  <c r="M443" i="2" s="1"/>
  <c r="M442" i="2"/>
  <c r="L442" i="2"/>
  <c r="L441" i="2"/>
  <c r="M441" i="2" s="1"/>
  <c r="M440" i="2"/>
  <c r="L440" i="2"/>
  <c r="L439" i="2"/>
  <c r="M439" i="2" s="1"/>
  <c r="M438" i="2"/>
  <c r="L438" i="2"/>
  <c r="L437" i="2"/>
  <c r="M437" i="2" s="1"/>
  <c r="M436" i="2"/>
  <c r="L436" i="2"/>
  <c r="L435" i="2"/>
  <c r="M435" i="2" s="1"/>
  <c r="M434" i="2"/>
  <c r="L434" i="2"/>
  <c r="L433" i="2"/>
  <c r="M433" i="2" s="1"/>
  <c r="M432" i="2"/>
  <c r="L432" i="2"/>
  <c r="L431" i="2"/>
  <c r="M431" i="2" s="1"/>
  <c r="M430" i="2"/>
  <c r="L430" i="2"/>
  <c r="L429" i="2"/>
  <c r="M429" i="2" s="1"/>
  <c r="M428" i="2"/>
  <c r="L428" i="2"/>
  <c r="L427" i="2"/>
  <c r="M427" i="2" s="1"/>
  <c r="M426" i="2"/>
  <c r="L426" i="2"/>
  <c r="L425" i="2"/>
  <c r="M425" i="2" s="1"/>
  <c r="M424" i="2"/>
  <c r="L424" i="2"/>
  <c r="L423" i="2"/>
  <c r="M423" i="2" s="1"/>
  <c r="M422" i="2"/>
  <c r="L422" i="2"/>
  <c r="L421" i="2"/>
  <c r="M421" i="2" s="1"/>
  <c r="M420" i="2"/>
  <c r="L420" i="2"/>
  <c r="L419" i="2"/>
  <c r="M419" i="2" s="1"/>
  <c r="M418" i="2"/>
  <c r="L418" i="2"/>
  <c r="L417" i="2"/>
  <c r="M417" i="2" s="1"/>
  <c r="M416" i="2"/>
  <c r="L416" i="2"/>
  <c r="L415" i="2"/>
  <c r="M415" i="2" s="1"/>
  <c r="M414" i="2"/>
  <c r="L414" i="2"/>
  <c r="L413" i="2"/>
  <c r="M413" i="2" s="1"/>
  <c r="M412" i="2"/>
  <c r="L412" i="2"/>
  <c r="L411" i="2"/>
  <c r="M411" i="2" s="1"/>
  <c r="M410" i="2"/>
  <c r="L410" i="2"/>
  <c r="L409" i="2"/>
  <c r="M409" i="2" s="1"/>
  <c r="M408" i="2"/>
  <c r="L408" i="2"/>
  <c r="L407" i="2"/>
  <c r="M407" i="2" s="1"/>
  <c r="M406" i="2"/>
  <c r="L406" i="2"/>
  <c r="L405" i="2"/>
  <c r="M405" i="2" s="1"/>
  <c r="M404" i="2"/>
  <c r="L404" i="2"/>
  <c r="L403" i="2"/>
  <c r="M403" i="2" s="1"/>
  <c r="M402" i="2"/>
  <c r="L402" i="2"/>
  <c r="L401" i="2"/>
  <c r="M401" i="2" s="1"/>
  <c r="M400" i="2"/>
  <c r="L400" i="2"/>
  <c r="L399" i="2"/>
  <c r="M399" i="2" s="1"/>
  <c r="M398" i="2"/>
  <c r="L398" i="2"/>
  <c r="L397" i="2"/>
  <c r="M397" i="2" s="1"/>
  <c r="M396" i="2"/>
  <c r="L396" i="2"/>
  <c r="L395" i="2"/>
  <c r="M395" i="2" s="1"/>
  <c r="M394" i="2"/>
  <c r="L394" i="2"/>
  <c r="L393" i="2"/>
  <c r="M393" i="2" s="1"/>
  <c r="M392" i="2"/>
  <c r="L392" i="2"/>
  <c r="L391" i="2"/>
  <c r="M391" i="2" s="1"/>
  <c r="M390" i="2"/>
  <c r="L390" i="2"/>
  <c r="L389" i="2"/>
  <c r="M389" i="2" s="1"/>
  <c r="M388" i="2"/>
  <c r="L388" i="2"/>
  <c r="L387" i="2"/>
  <c r="M387" i="2" s="1"/>
  <c r="M386" i="2"/>
  <c r="L386" i="2"/>
  <c r="L385" i="2"/>
  <c r="M385" i="2" s="1"/>
  <c r="M384" i="2"/>
  <c r="L384" i="2"/>
  <c r="L383" i="2"/>
  <c r="M383" i="2" s="1"/>
  <c r="M382" i="2"/>
  <c r="L382" i="2"/>
  <c r="L381" i="2"/>
  <c r="M381" i="2" s="1"/>
  <c r="M380" i="2"/>
  <c r="L380" i="2"/>
  <c r="L379" i="2"/>
  <c r="M379" i="2" s="1"/>
  <c r="M378" i="2"/>
  <c r="L378" i="2"/>
  <c r="L377" i="2"/>
  <c r="M377" i="2" s="1"/>
  <c r="M376" i="2"/>
  <c r="L376" i="2"/>
  <c r="L375" i="2"/>
  <c r="M375" i="2" s="1"/>
  <c r="M374" i="2"/>
  <c r="L374" i="2"/>
  <c r="L373" i="2"/>
  <c r="M373" i="2" s="1"/>
  <c r="M372" i="2"/>
  <c r="L372" i="2"/>
  <c r="L371" i="2"/>
  <c r="M371" i="2" s="1"/>
  <c r="M370" i="2"/>
  <c r="L370" i="2"/>
  <c r="L369" i="2"/>
  <c r="M369" i="2" s="1"/>
  <c r="M368" i="2"/>
  <c r="L368" i="2"/>
  <c r="L367" i="2"/>
  <c r="M367" i="2" s="1"/>
  <c r="M366" i="2"/>
  <c r="L366" i="2"/>
  <c r="L365" i="2"/>
  <c r="M365" i="2" s="1"/>
  <c r="M364" i="2"/>
  <c r="L364" i="2"/>
  <c r="L363" i="2"/>
  <c r="M363" i="2" s="1"/>
  <c r="M362" i="2"/>
  <c r="L362" i="2"/>
  <c r="L361" i="2"/>
  <c r="M361" i="2" s="1"/>
  <c r="M360" i="2"/>
  <c r="L360" i="2"/>
  <c r="L359" i="2"/>
  <c r="M359" i="2" s="1"/>
  <c r="M358" i="2"/>
  <c r="L358" i="2"/>
  <c r="L357" i="2"/>
  <c r="M357" i="2" s="1"/>
  <c r="M356" i="2"/>
  <c r="L356" i="2"/>
  <c r="L355" i="2"/>
  <c r="M355" i="2" s="1"/>
  <c r="M354" i="2"/>
  <c r="L354" i="2"/>
  <c r="L353" i="2"/>
  <c r="M353" i="2" s="1"/>
  <c r="M352" i="2"/>
  <c r="L352" i="2"/>
  <c r="L351" i="2"/>
  <c r="M351" i="2" s="1"/>
  <c r="M350" i="2"/>
  <c r="L350" i="2"/>
  <c r="L349" i="2"/>
  <c r="M349" i="2" s="1"/>
  <c r="M348" i="2"/>
  <c r="L348" i="2"/>
  <c r="L347" i="2"/>
  <c r="M347" i="2" s="1"/>
  <c r="M346" i="2"/>
  <c r="L346" i="2"/>
  <c r="L345" i="2"/>
  <c r="M345" i="2" s="1"/>
  <c r="M344" i="2"/>
  <c r="L344" i="2"/>
  <c r="L343" i="2"/>
  <c r="M343" i="2" s="1"/>
  <c r="M342" i="2"/>
  <c r="L342" i="2"/>
  <c r="L341" i="2"/>
  <c r="M341" i="2" s="1"/>
  <c r="M340" i="2"/>
  <c r="L340" i="2"/>
  <c r="L339" i="2"/>
  <c r="M339" i="2" s="1"/>
  <c r="M338" i="2"/>
  <c r="L338" i="2"/>
  <c r="L337" i="2"/>
  <c r="M337" i="2" s="1"/>
  <c r="M336" i="2"/>
  <c r="L336" i="2"/>
  <c r="L335" i="2"/>
  <c r="M335" i="2" s="1"/>
  <c r="M334" i="2"/>
  <c r="L334" i="2"/>
  <c r="L333" i="2"/>
  <c r="M333" i="2" s="1"/>
  <c r="L332" i="2"/>
  <c r="M332" i="2" s="1"/>
  <c r="L331" i="2"/>
  <c r="M331" i="2" s="1"/>
  <c r="M330" i="2"/>
  <c r="L330" i="2"/>
  <c r="L329" i="2"/>
  <c r="M329" i="2" s="1"/>
  <c r="L328" i="2"/>
  <c r="M328" i="2" s="1"/>
  <c r="L327" i="2"/>
  <c r="M327" i="2" s="1"/>
  <c r="M326" i="2"/>
  <c r="L326" i="2"/>
  <c r="L325" i="2"/>
  <c r="M325" i="2" s="1"/>
  <c r="L324" i="2"/>
  <c r="M324" i="2" s="1"/>
  <c r="L323" i="2"/>
  <c r="M323" i="2" s="1"/>
  <c r="M322" i="2"/>
  <c r="L322" i="2"/>
  <c r="L321" i="2"/>
  <c r="M321" i="2" s="1"/>
  <c r="L320" i="2"/>
  <c r="M320" i="2" s="1"/>
  <c r="L319" i="2"/>
  <c r="M319" i="2" s="1"/>
  <c r="M318" i="2"/>
  <c r="L318" i="2"/>
  <c r="L317" i="2"/>
  <c r="M317" i="2" s="1"/>
  <c r="L316" i="2"/>
  <c r="M316" i="2" s="1"/>
  <c r="L315" i="2"/>
  <c r="M315" i="2" s="1"/>
  <c r="M314" i="2"/>
  <c r="L314" i="2"/>
  <c r="L313" i="2"/>
  <c r="M313" i="2" s="1"/>
  <c r="L312" i="2"/>
  <c r="M312" i="2" s="1"/>
  <c r="L311" i="2"/>
  <c r="M311" i="2" s="1"/>
  <c r="M310" i="2"/>
  <c r="L310" i="2"/>
  <c r="L309" i="2"/>
  <c r="M309" i="2" s="1"/>
  <c r="L308" i="2"/>
  <c r="M308" i="2" s="1"/>
  <c r="L307" i="2"/>
  <c r="M307" i="2" s="1"/>
  <c r="M306" i="2"/>
  <c r="L306" i="2"/>
  <c r="L305" i="2"/>
  <c r="M305" i="2" s="1"/>
  <c r="L304" i="2"/>
  <c r="M304" i="2" s="1"/>
  <c r="L303" i="2"/>
  <c r="M303" i="2" s="1"/>
  <c r="M302" i="2"/>
  <c r="L302" i="2"/>
  <c r="L301" i="2"/>
  <c r="M301" i="2" s="1"/>
  <c r="L300" i="2"/>
  <c r="M300" i="2" s="1"/>
  <c r="L299" i="2"/>
  <c r="M299" i="2" s="1"/>
  <c r="M298" i="2"/>
  <c r="L298" i="2"/>
  <c r="L297" i="2"/>
  <c r="M297" i="2" s="1"/>
  <c r="L296" i="2"/>
  <c r="M296" i="2" s="1"/>
  <c r="L295" i="2"/>
  <c r="M295" i="2" s="1"/>
  <c r="M294" i="2"/>
  <c r="L294" i="2"/>
  <c r="L293" i="2"/>
  <c r="M293" i="2" s="1"/>
  <c r="L292" i="2"/>
  <c r="M292" i="2" s="1"/>
  <c r="L291" i="2"/>
  <c r="M291" i="2" s="1"/>
  <c r="M290" i="2"/>
  <c r="L290" i="2"/>
  <c r="L289" i="2"/>
  <c r="M289" i="2" s="1"/>
  <c r="L288" i="2"/>
  <c r="M288" i="2" s="1"/>
  <c r="L287" i="2"/>
  <c r="M287" i="2" s="1"/>
  <c r="M286" i="2"/>
  <c r="L286" i="2"/>
  <c r="L285" i="2"/>
  <c r="M285" i="2" s="1"/>
  <c r="L284" i="2"/>
  <c r="M284" i="2" s="1"/>
  <c r="L283" i="2"/>
  <c r="M283" i="2" s="1"/>
  <c r="M282" i="2"/>
  <c r="L282" i="2"/>
  <c r="L281" i="2"/>
  <c r="M281" i="2" s="1"/>
  <c r="L280" i="2"/>
  <c r="M280" i="2" s="1"/>
  <c r="L279" i="2"/>
  <c r="M279" i="2" s="1"/>
  <c r="M278" i="2"/>
  <c r="L278" i="2"/>
  <c r="L277" i="2"/>
  <c r="M277" i="2" s="1"/>
  <c r="L276" i="2"/>
  <c r="M276" i="2" s="1"/>
  <c r="L275" i="2"/>
  <c r="M275" i="2" s="1"/>
  <c r="M274" i="2"/>
  <c r="L274" i="2"/>
  <c r="L273" i="2"/>
  <c r="M273" i="2" s="1"/>
  <c r="L272" i="2"/>
  <c r="M272" i="2" s="1"/>
  <c r="L271" i="2"/>
  <c r="M271" i="2" s="1"/>
  <c r="M270" i="2"/>
  <c r="L270" i="2"/>
  <c r="L269" i="2"/>
  <c r="M269" i="2" s="1"/>
  <c r="L268" i="2"/>
  <c r="M268" i="2" s="1"/>
  <c r="L267" i="2"/>
  <c r="M267" i="2" s="1"/>
  <c r="M266" i="2"/>
  <c r="L266" i="2"/>
  <c r="L265" i="2"/>
  <c r="M265" i="2" s="1"/>
  <c r="L264" i="2"/>
  <c r="M264" i="2" s="1"/>
  <c r="L263" i="2"/>
  <c r="M263" i="2" s="1"/>
  <c r="M262" i="2"/>
  <c r="L262" i="2"/>
  <c r="L261" i="2"/>
  <c r="M261" i="2" s="1"/>
  <c r="L260" i="2"/>
  <c r="M260" i="2" s="1"/>
  <c r="L259" i="2"/>
  <c r="M259" i="2" s="1"/>
  <c r="M258" i="2"/>
  <c r="L258" i="2"/>
  <c r="L257" i="2"/>
  <c r="M257" i="2" s="1"/>
  <c r="L256" i="2"/>
  <c r="M256" i="2" s="1"/>
  <c r="L255" i="2"/>
  <c r="M255" i="2" s="1"/>
  <c r="M254" i="2"/>
  <c r="L254" i="2"/>
  <c r="L253" i="2"/>
  <c r="M253" i="2" s="1"/>
  <c r="L252" i="2"/>
  <c r="M252" i="2" s="1"/>
  <c r="L251" i="2"/>
  <c r="M251" i="2" s="1"/>
  <c r="M250" i="2"/>
  <c r="L250" i="2"/>
  <c r="L249" i="2"/>
  <c r="M249" i="2" s="1"/>
  <c r="L248" i="2"/>
  <c r="M248" i="2" s="1"/>
  <c r="L247" i="2"/>
  <c r="M247" i="2" s="1"/>
  <c r="M246" i="2"/>
  <c r="L246" i="2"/>
  <c r="L245" i="2"/>
  <c r="M245" i="2" s="1"/>
  <c r="L244" i="2"/>
  <c r="M244" i="2" s="1"/>
  <c r="L243" i="2"/>
  <c r="M243" i="2" s="1"/>
  <c r="M242" i="2"/>
  <c r="L242" i="2"/>
  <c r="L241" i="2"/>
  <c r="M241" i="2" s="1"/>
  <c r="L240" i="2"/>
  <c r="M240" i="2" s="1"/>
  <c r="L239" i="2"/>
  <c r="M239" i="2" s="1"/>
  <c r="M238" i="2"/>
  <c r="L238" i="2"/>
  <c r="L237" i="2"/>
  <c r="M237" i="2" s="1"/>
  <c r="L236" i="2"/>
  <c r="M236" i="2" s="1"/>
  <c r="L235" i="2"/>
  <c r="M235" i="2" s="1"/>
  <c r="M234" i="2"/>
  <c r="L234" i="2"/>
  <c r="L233" i="2"/>
  <c r="M233" i="2" s="1"/>
  <c r="L232" i="2"/>
  <c r="M232" i="2" s="1"/>
  <c r="L231" i="2"/>
  <c r="M231" i="2" s="1"/>
  <c r="M230" i="2"/>
  <c r="L230" i="2"/>
  <c r="L229" i="2"/>
  <c r="M229" i="2" s="1"/>
  <c r="L228" i="2"/>
  <c r="M228" i="2" s="1"/>
  <c r="L227" i="2"/>
  <c r="M227" i="2" s="1"/>
  <c r="M226" i="2"/>
  <c r="L226" i="2"/>
  <c r="L225" i="2"/>
  <c r="M225" i="2" s="1"/>
  <c r="L224" i="2"/>
  <c r="M224" i="2" s="1"/>
  <c r="L223" i="2"/>
  <c r="M223" i="2" s="1"/>
  <c r="M222" i="2"/>
  <c r="L222" i="2"/>
  <c r="L221" i="2"/>
  <c r="M221" i="2" s="1"/>
  <c r="L220" i="2"/>
  <c r="M220" i="2" s="1"/>
  <c r="L219" i="2"/>
  <c r="M219" i="2" s="1"/>
  <c r="M218" i="2"/>
  <c r="L218" i="2"/>
  <c r="L217" i="2"/>
  <c r="M217" i="2" s="1"/>
  <c r="L216" i="2"/>
  <c r="M216" i="2" s="1"/>
  <c r="L215" i="2"/>
  <c r="M215" i="2" s="1"/>
  <c r="M214" i="2"/>
  <c r="L214" i="2"/>
  <c r="L213" i="2"/>
  <c r="M213" i="2" s="1"/>
  <c r="L212" i="2"/>
  <c r="M212" i="2" s="1"/>
  <c r="L211" i="2"/>
  <c r="M211" i="2" s="1"/>
  <c r="M210" i="2"/>
  <c r="L210" i="2"/>
  <c r="L209" i="2"/>
  <c r="M209" i="2" s="1"/>
  <c r="L208" i="2"/>
  <c r="M208" i="2" s="1"/>
  <c r="L207" i="2"/>
  <c r="M207" i="2" s="1"/>
  <c r="M206" i="2"/>
  <c r="L206" i="2"/>
  <c r="L205" i="2"/>
  <c r="M205" i="2" s="1"/>
  <c r="L204" i="2"/>
  <c r="M204" i="2" s="1"/>
  <c r="L203" i="2"/>
  <c r="M203" i="2" s="1"/>
  <c r="M202" i="2"/>
  <c r="L202" i="2"/>
  <c r="L201" i="2"/>
  <c r="M201" i="2" s="1"/>
  <c r="L200" i="2"/>
  <c r="M200" i="2" s="1"/>
  <c r="L199" i="2"/>
  <c r="M199" i="2" s="1"/>
  <c r="M198" i="2"/>
  <c r="L198" i="2"/>
  <c r="L197" i="2"/>
  <c r="M197" i="2" s="1"/>
  <c r="L196" i="2"/>
  <c r="M196" i="2" s="1"/>
  <c r="L195" i="2"/>
  <c r="M195" i="2" s="1"/>
  <c r="M194" i="2"/>
  <c r="L194" i="2"/>
  <c r="L193" i="2"/>
  <c r="M193" i="2" s="1"/>
  <c r="L192" i="2"/>
  <c r="M192" i="2" s="1"/>
  <c r="L191" i="2"/>
  <c r="M191" i="2" s="1"/>
  <c r="M190" i="2"/>
  <c r="L190" i="2"/>
  <c r="L189" i="2"/>
  <c r="M189" i="2" s="1"/>
  <c r="L188" i="2"/>
  <c r="M188" i="2" s="1"/>
  <c r="L187" i="2"/>
  <c r="M187" i="2" s="1"/>
  <c r="M186" i="2"/>
  <c r="L186" i="2"/>
  <c r="L185" i="2"/>
  <c r="M185" i="2" s="1"/>
  <c r="L184" i="2"/>
  <c r="M184" i="2" s="1"/>
  <c r="L183" i="2"/>
  <c r="M183" i="2" s="1"/>
  <c r="M182" i="2"/>
  <c r="L182" i="2"/>
  <c r="L181" i="2"/>
  <c r="M181" i="2" s="1"/>
  <c r="L180" i="2"/>
  <c r="M180" i="2" s="1"/>
  <c r="L179" i="2"/>
  <c r="M179" i="2" s="1"/>
  <c r="M178" i="2"/>
  <c r="L178" i="2"/>
  <c r="L177" i="2"/>
  <c r="M177" i="2" s="1"/>
  <c r="L176" i="2"/>
  <c r="M176" i="2" s="1"/>
  <c r="L175" i="2"/>
  <c r="M175" i="2" s="1"/>
  <c r="M174" i="2"/>
  <c r="L174" i="2"/>
  <c r="L173" i="2"/>
  <c r="M173" i="2" s="1"/>
  <c r="L172" i="2"/>
  <c r="M172" i="2" s="1"/>
  <c r="L171" i="2"/>
  <c r="M171" i="2" s="1"/>
  <c r="M170" i="2"/>
  <c r="L170" i="2"/>
  <c r="L169" i="2"/>
  <c r="M169" i="2" s="1"/>
  <c r="L168" i="2"/>
  <c r="M168" i="2" s="1"/>
  <c r="L167" i="2"/>
  <c r="M167" i="2" s="1"/>
  <c r="M166" i="2"/>
  <c r="L166" i="2"/>
  <c r="L165" i="2"/>
  <c r="M165" i="2" s="1"/>
  <c r="L164" i="2"/>
  <c r="M164" i="2" s="1"/>
  <c r="L163" i="2"/>
  <c r="M163" i="2" s="1"/>
  <c r="M162" i="2"/>
  <c r="L162" i="2"/>
  <c r="L161" i="2"/>
  <c r="M161" i="2" s="1"/>
  <c r="L160" i="2"/>
  <c r="M160" i="2" s="1"/>
  <c r="L159" i="2"/>
  <c r="M159" i="2" s="1"/>
  <c r="M158" i="2"/>
  <c r="L158" i="2"/>
  <c r="L157" i="2"/>
  <c r="M157" i="2" s="1"/>
  <c r="L156" i="2"/>
  <c r="M156" i="2" s="1"/>
  <c r="L155" i="2"/>
  <c r="M155" i="2" s="1"/>
  <c r="M154" i="2"/>
  <c r="L154" i="2"/>
  <c r="L153" i="2"/>
  <c r="M153" i="2" s="1"/>
  <c r="L152" i="2"/>
  <c r="M152" i="2" s="1"/>
  <c r="L151" i="2"/>
  <c r="M151" i="2" s="1"/>
  <c r="M150" i="2"/>
  <c r="L150" i="2"/>
  <c r="L149" i="2"/>
  <c r="M149" i="2" s="1"/>
  <c r="L148" i="2"/>
  <c r="M148" i="2" s="1"/>
  <c r="L147" i="2"/>
  <c r="M147" i="2" s="1"/>
  <c r="M146" i="2"/>
  <c r="L146" i="2"/>
  <c r="L145" i="2"/>
  <c r="M145" i="2" s="1"/>
  <c r="L144" i="2"/>
  <c r="M144" i="2" s="1"/>
  <c r="L143" i="2"/>
  <c r="M143" i="2" s="1"/>
  <c r="M142" i="2"/>
  <c r="L142" i="2"/>
  <c r="L141" i="2"/>
  <c r="M141" i="2" s="1"/>
  <c r="L140" i="2"/>
  <c r="M140" i="2" s="1"/>
  <c r="L139" i="2"/>
  <c r="M139" i="2" s="1"/>
  <c r="M138" i="2"/>
  <c r="L138" i="2"/>
  <c r="L137" i="2"/>
  <c r="M137" i="2" s="1"/>
  <c r="L136" i="2"/>
  <c r="M136" i="2" s="1"/>
  <c r="L135" i="2"/>
  <c r="M135" i="2" s="1"/>
  <c r="M134" i="2"/>
  <c r="L134" i="2"/>
  <c r="L133" i="2"/>
  <c r="M133" i="2" s="1"/>
  <c r="L132" i="2"/>
  <c r="M132" i="2" s="1"/>
  <c r="L131" i="2"/>
  <c r="M131" i="2" s="1"/>
  <c r="M130" i="2"/>
  <c r="L130" i="2"/>
  <c r="L129" i="2"/>
  <c r="M129" i="2" s="1"/>
  <c r="L128" i="2"/>
  <c r="M128" i="2" s="1"/>
  <c r="L127" i="2"/>
  <c r="M127" i="2" s="1"/>
  <c r="M126" i="2"/>
  <c r="L126" i="2"/>
  <c r="L125" i="2"/>
  <c r="M125" i="2" s="1"/>
  <c r="L124" i="2"/>
  <c r="M124" i="2" s="1"/>
  <c r="L123" i="2"/>
  <c r="M123" i="2" s="1"/>
  <c r="M122" i="2"/>
  <c r="L122" i="2"/>
  <c r="L121" i="2"/>
  <c r="M121" i="2" s="1"/>
  <c r="L120" i="2"/>
  <c r="M120" i="2" s="1"/>
  <c r="L119" i="2"/>
  <c r="M119" i="2" s="1"/>
  <c r="M118" i="2"/>
  <c r="L118" i="2"/>
  <c r="L117" i="2"/>
  <c r="M117" i="2" s="1"/>
  <c r="L116" i="2"/>
  <c r="M116" i="2" s="1"/>
  <c r="L115" i="2"/>
  <c r="M115" i="2" s="1"/>
  <c r="M114" i="2"/>
  <c r="L114" i="2"/>
  <c r="L113" i="2"/>
  <c r="M113" i="2" s="1"/>
  <c r="L112" i="2"/>
  <c r="M112" i="2" s="1"/>
  <c r="L111" i="2"/>
  <c r="M111" i="2" s="1"/>
  <c r="M110" i="2"/>
  <c r="L110" i="2"/>
  <c r="L109" i="2"/>
  <c r="M109" i="2" s="1"/>
  <c r="L108" i="2"/>
  <c r="M108" i="2" s="1"/>
  <c r="L107" i="2"/>
  <c r="M107" i="2" s="1"/>
  <c r="M106" i="2"/>
  <c r="L106" i="2"/>
  <c r="L105" i="2"/>
  <c r="M105" i="2" s="1"/>
  <c r="L104" i="2"/>
  <c r="M104" i="2" s="1"/>
  <c r="L103" i="2"/>
  <c r="M103" i="2" s="1"/>
  <c r="M102" i="2"/>
  <c r="L102" i="2"/>
  <c r="L101" i="2"/>
  <c r="M101" i="2" s="1"/>
  <c r="L100" i="2"/>
  <c r="M100" i="2" s="1"/>
  <c r="L99" i="2"/>
  <c r="M99" i="2" s="1"/>
  <c r="M98" i="2"/>
  <c r="L98" i="2"/>
  <c r="L97" i="2"/>
  <c r="M97" i="2" s="1"/>
  <c r="L96" i="2"/>
  <c r="M96" i="2" s="1"/>
  <c r="L95" i="2"/>
  <c r="M95" i="2" s="1"/>
  <c r="M94" i="2"/>
  <c r="L94" i="2"/>
  <c r="L93" i="2"/>
  <c r="M93" i="2" s="1"/>
  <c r="L92" i="2"/>
  <c r="M92" i="2" s="1"/>
  <c r="L91" i="2"/>
  <c r="M91" i="2" s="1"/>
  <c r="M90" i="2"/>
  <c r="L90" i="2"/>
  <c r="L89" i="2"/>
  <c r="M89" i="2" s="1"/>
  <c r="L88" i="2"/>
  <c r="M88" i="2" s="1"/>
  <c r="L87" i="2"/>
  <c r="M87" i="2" s="1"/>
  <c r="M86" i="2"/>
  <c r="L86" i="2"/>
  <c r="L85" i="2"/>
  <c r="M85" i="2" s="1"/>
  <c r="L84" i="2"/>
  <c r="M84" i="2" s="1"/>
  <c r="L83" i="2"/>
  <c r="M83" i="2" s="1"/>
  <c r="M82" i="2"/>
  <c r="L82" i="2"/>
  <c r="L81" i="2"/>
  <c r="M81" i="2" s="1"/>
  <c r="L80" i="2"/>
  <c r="M80" i="2" s="1"/>
  <c r="L79" i="2"/>
  <c r="M79" i="2" s="1"/>
  <c r="M78" i="2"/>
  <c r="L78" i="2"/>
  <c r="L77" i="2"/>
  <c r="M77" i="2" s="1"/>
  <c r="L76" i="2"/>
  <c r="M76" i="2" s="1"/>
  <c r="L75" i="2"/>
  <c r="M75" i="2" s="1"/>
  <c r="M74" i="2"/>
  <c r="L74" i="2"/>
  <c r="L73" i="2"/>
  <c r="M73" i="2" s="1"/>
  <c r="L72" i="2"/>
  <c r="M72" i="2" s="1"/>
  <c r="L71" i="2"/>
  <c r="M71" i="2" s="1"/>
  <c r="M70" i="2"/>
  <c r="L70" i="2"/>
  <c r="L69" i="2"/>
  <c r="M69" i="2" s="1"/>
  <c r="L68" i="2"/>
  <c r="M68" i="2" s="1"/>
  <c r="L67" i="2"/>
  <c r="M67" i="2" s="1"/>
  <c r="M66" i="2"/>
  <c r="L66" i="2"/>
  <c r="L65" i="2"/>
  <c r="M65" i="2" s="1"/>
  <c r="L64" i="2"/>
  <c r="M64" i="2" s="1"/>
  <c r="L63" i="2"/>
  <c r="M63" i="2" s="1"/>
  <c r="M62" i="2"/>
  <c r="L62" i="2"/>
  <c r="L61" i="2"/>
  <c r="M61" i="2" s="1"/>
  <c r="L60" i="2"/>
  <c r="M60" i="2" s="1"/>
  <c r="L59" i="2"/>
  <c r="M59" i="2" s="1"/>
  <c r="M58" i="2"/>
  <c r="L58" i="2"/>
  <c r="L57" i="2"/>
  <c r="M57" i="2" s="1"/>
  <c r="L56" i="2"/>
  <c r="M56" i="2" s="1"/>
  <c r="L55" i="2"/>
  <c r="M55" i="2" s="1"/>
  <c r="M54" i="2"/>
  <c r="L54" i="2"/>
  <c r="L53" i="2"/>
  <c r="M53" i="2" s="1"/>
  <c r="L52" i="2"/>
  <c r="M52" i="2" s="1"/>
  <c r="L51" i="2"/>
  <c r="M51" i="2" s="1"/>
  <c r="M50" i="2"/>
  <c r="L50" i="2"/>
  <c r="L49" i="2"/>
  <c r="M49" i="2" s="1"/>
  <c r="L48" i="2"/>
  <c r="M48" i="2" s="1"/>
  <c r="L47" i="2"/>
  <c r="M47" i="2" s="1"/>
  <c r="M46" i="2"/>
  <c r="L46" i="2"/>
  <c r="L45" i="2"/>
  <c r="M45" i="2" s="1"/>
  <c r="L44" i="2"/>
  <c r="M44" i="2" s="1"/>
  <c r="L43" i="2"/>
  <c r="M43" i="2" s="1"/>
  <c r="M42" i="2"/>
  <c r="L42" i="2"/>
  <c r="L41" i="2"/>
  <c r="M41" i="2" s="1"/>
  <c r="L40" i="2"/>
  <c r="M40" i="2" s="1"/>
  <c r="L39" i="2"/>
  <c r="M39" i="2" s="1"/>
  <c r="M38" i="2"/>
  <c r="L38" i="2"/>
  <c r="L37" i="2"/>
  <c r="M37" i="2" s="1"/>
  <c r="L36" i="2"/>
  <c r="M36" i="2" s="1"/>
  <c r="L35" i="2"/>
  <c r="M35" i="2" s="1"/>
  <c r="M34" i="2"/>
  <c r="L34" i="2"/>
  <c r="L33" i="2"/>
  <c r="M33" i="2" s="1"/>
  <c r="L32" i="2"/>
  <c r="M32" i="2" s="1"/>
  <c r="L31" i="2"/>
  <c r="M31" i="2" s="1"/>
  <c r="M30" i="2"/>
  <c r="L30" i="2"/>
  <c r="L29" i="2"/>
  <c r="M29" i="2" s="1"/>
  <c r="L28" i="2"/>
  <c r="M28" i="2" s="1"/>
  <c r="L27" i="2"/>
  <c r="M27" i="2" s="1"/>
  <c r="M26" i="2"/>
  <c r="L26" i="2"/>
  <c r="L25" i="2"/>
  <c r="M25" i="2" s="1"/>
  <c r="L24" i="2"/>
  <c r="M24" i="2" s="1"/>
  <c r="L23" i="2"/>
  <c r="M23" i="2" s="1"/>
  <c r="M22" i="2"/>
  <c r="L22" i="2"/>
  <c r="L21" i="2"/>
  <c r="M21" i="2" s="1"/>
  <c r="L20" i="2"/>
  <c r="M20" i="2" s="1"/>
  <c r="L19" i="2"/>
  <c r="M19" i="2" s="1"/>
  <c r="M18" i="2"/>
  <c r="L18" i="2"/>
  <c r="L17" i="2"/>
  <c r="M17" i="2" s="1"/>
  <c r="L16" i="2"/>
  <c r="M16" i="2" s="1"/>
  <c r="L15" i="2"/>
  <c r="M15" i="2" s="1"/>
  <c r="M14" i="2"/>
  <c r="L14" i="2"/>
  <c r="L13" i="2"/>
  <c r="L12" i="2"/>
  <c r="M12" i="2" s="1"/>
  <c r="L11" i="2"/>
  <c r="M10" i="2"/>
  <c r="L10" i="2"/>
  <c r="L9" i="2"/>
  <c r="L8" i="2"/>
  <c r="L7" i="2"/>
  <c r="M6" i="2"/>
  <c r="L6" i="2"/>
  <c r="L5" i="2"/>
  <c r="L4" i="2"/>
  <c r="M4" i="2" s="1"/>
  <c r="L3" i="2"/>
  <c r="L2" i="2"/>
  <c r="M2" i="2" s="1"/>
  <c r="H12" i="4" l="1"/>
  <c r="G12" i="4"/>
  <c r="M9" i="2"/>
  <c r="H5" i="4"/>
  <c r="G5" i="4"/>
  <c r="I5" i="4" s="1"/>
  <c r="M7" i="2"/>
  <c r="H11" i="4"/>
  <c r="G11" i="4"/>
  <c r="I11" i="4" s="1"/>
  <c r="H8" i="4"/>
  <c r="G8" i="4"/>
  <c r="M5" i="2"/>
  <c r="G3" i="4"/>
  <c r="C5" i="3"/>
  <c r="E4" i="3"/>
  <c r="C3" i="3"/>
  <c r="E2" i="3"/>
  <c r="H3" i="4"/>
  <c r="D5" i="3"/>
  <c r="D4" i="3"/>
  <c r="E3" i="3"/>
  <c r="F2" i="3"/>
  <c r="B5" i="3"/>
  <c r="G5" i="3" s="1"/>
  <c r="C4" i="3"/>
  <c r="D3" i="3"/>
  <c r="D2" i="3"/>
  <c r="E5" i="3"/>
  <c r="F3" i="3"/>
  <c r="B2" i="3"/>
  <c r="B3" i="3"/>
  <c r="F4" i="3"/>
  <c r="F5" i="3"/>
  <c r="B4" i="3"/>
  <c r="C2" i="3"/>
  <c r="C6" i="3" s="1"/>
  <c r="H10" i="4"/>
  <c r="G10" i="4"/>
  <c r="G4" i="4"/>
  <c r="H4" i="4"/>
  <c r="G2" i="4"/>
  <c r="I2" i="4" s="1"/>
  <c r="H2" i="4"/>
  <c r="H14" i="4"/>
  <c r="G14" i="4"/>
  <c r="I14" i="4" s="1"/>
  <c r="M13" i="2"/>
  <c r="M3" i="2"/>
  <c r="H6" i="4"/>
  <c r="G6" i="4"/>
  <c r="I6" i="4" s="1"/>
  <c r="M8" i="2"/>
  <c r="H7" i="4"/>
  <c r="G7" i="4"/>
  <c r="M11" i="2"/>
  <c r="H13" i="4"/>
  <c r="G13" i="4"/>
  <c r="H9" i="4"/>
  <c r="G9" i="4"/>
  <c r="I7" i="4" l="1"/>
  <c r="I4" i="4"/>
  <c r="G4" i="3"/>
  <c r="B6" i="3"/>
  <c r="G2" i="3"/>
  <c r="E6" i="3"/>
  <c r="I3" i="4"/>
  <c r="I13" i="4"/>
  <c r="I10" i="4"/>
  <c r="I8" i="4"/>
  <c r="I12" i="4"/>
  <c r="I9" i="4"/>
  <c r="G3" i="3"/>
  <c r="D6" i="3"/>
  <c r="F6" i="3"/>
  <c r="G6" i="3" l="1"/>
</calcChain>
</file>

<file path=xl/sharedStrings.xml><?xml version="1.0" encoding="utf-8"?>
<sst xmlns="http://schemas.openxmlformats.org/spreadsheetml/2006/main" count="8716" uniqueCount="75">
  <si>
    <t>Pharmacy COVID-19 Operations Dashboard</t>
  </si>
  <si>
    <t>Synthetic portfolio project | Weekly data 2019–2022 | Selected OTC, prescription-support and COVID-related pharmacy categories</t>
  </si>
  <si>
    <t>Total Revenue</t>
  </si>
  <si>
    <t>Units Sold</t>
  </si>
  <si>
    <t>Out-of-Stock</t>
  </si>
  <si>
    <t>Avg Supplier Delay</t>
  </si>
  <si>
    <t>Demand Spikes</t>
  </si>
  <si>
    <t>Categories</t>
  </si>
  <si>
    <t>Period</t>
  </si>
  <si>
    <t>2019–2022</t>
  </si>
  <si>
    <t>2019–2022 data</t>
  </si>
  <si>
    <t>Weekly records</t>
  </si>
  <si>
    <t>Demand &amp; Revenue Trend</t>
  </si>
  <si>
    <t>Operational Pressure</t>
  </si>
  <si>
    <t>Executive Insights &amp; Recommended Actions</t>
  </si>
  <si>
    <t>Demand Spike
Protective products and testing-related services increased strongly after early 2020. Track these separately from normal seasonal demand.</t>
  </si>
  <si>
    <t>Stock Pressure
Out-of-stock incidents became visible in fast-moving COVID-related products. Minimum stock thresholds would help reduce risk.</t>
  </si>
  <si>
    <t>Supplier Delay
Supplier delays increased during high-demand periods. Backup suppliers and proactive follow-up would improve readiness.</t>
  </si>
  <si>
    <t>Portfolio Value
This project connects pharmacy operations experience with Excel, Power BI storytelling, KPI design and business recommendations.</t>
  </si>
  <si>
    <t>Disclaimer: Synthetic and anonymized portfolio dataset. Figures do not represent real pharmacy financial or patient data.</t>
  </si>
  <si>
    <t>Week_Start</t>
  </si>
  <si>
    <t>Category</t>
  </si>
  <si>
    <t>Units_Sold</t>
  </si>
  <si>
    <t>Unit_Price_EUR</t>
  </si>
  <si>
    <t>Revenue_EUR</t>
  </si>
  <si>
    <t>Stock_Start</t>
  </si>
  <si>
    <t>Stock_End</t>
  </si>
  <si>
    <t>Supplier_Delay_Days</t>
  </si>
  <si>
    <t>Demand_Spike</t>
  </si>
  <si>
    <t>Out_of_Stock</t>
  </si>
  <si>
    <t>Notes</t>
  </si>
  <si>
    <t>Year</t>
  </si>
  <si>
    <t>Adult Productive Cough Syrup</t>
  </si>
  <si>
    <t>No</t>
  </si>
  <si>
    <t>Adult Dry Cough Syrup</t>
  </si>
  <si>
    <t>Children's Productive Cough Syrup</t>
  </si>
  <si>
    <t>Children's Dry Cough Syrup</t>
  </si>
  <si>
    <t>Cough Lozenges</t>
  </si>
  <si>
    <t>Antibiotic Prescriptions</t>
  </si>
  <si>
    <t>Vitamins &amp; Supplements</t>
  </si>
  <si>
    <t>Simple Masks</t>
  </si>
  <si>
    <t>KN95/FFP2 Masks</t>
  </si>
  <si>
    <t>Antiseptic / Alcohol</t>
  </si>
  <si>
    <t>Hand Gloves</t>
  </si>
  <si>
    <t>COVID Self Tests</t>
  </si>
  <si>
    <t>Pharmacy COVID Test Service</t>
  </si>
  <si>
    <t>Yes</t>
  </si>
  <si>
    <t>COVID-related demand spike</t>
  </si>
  <si>
    <t>Higher immunity-support demand</t>
  </si>
  <si>
    <t>Revenue</t>
  </si>
  <si>
    <t>Out-of-Stock Incidents</t>
  </si>
  <si>
    <t>Demand Spike Records</t>
  </si>
  <si>
    <t>Revenue Share</t>
  </si>
  <si>
    <t>Total / Avg</t>
  </si>
  <si>
    <t>2019 Units</t>
  </si>
  <si>
    <t>Avg 2020-2022 Units</t>
  </si>
  <si>
    <t>Demand Growth %</t>
  </si>
  <si>
    <t>Insight Type</t>
  </si>
  <si>
    <t>Finding</t>
  </si>
  <si>
    <t>Operational meaning</t>
  </si>
  <si>
    <t>Demand spike</t>
  </si>
  <si>
    <t>Protective products and testing-related categories increased after early 2020.</t>
  </si>
  <si>
    <t>The pharmacy needed closer monitoring of fast-moving health-crisis items.</t>
  </si>
  <si>
    <t>Revenue mix</t>
  </si>
  <si>
    <t>Vitamins &amp; supplements remained a strong revenue category across the period.</t>
  </si>
  <si>
    <t>Prevention and immune-support products became commercially important.</t>
  </si>
  <si>
    <t>Stock pressure</t>
  </si>
  <si>
    <t>Out-of-stock incidents were visible in COVID-related and protective categories.</t>
  </si>
  <si>
    <t>Minimum stock thresholds could reduce lost sales and customer frustration.</t>
  </si>
  <si>
    <t>Supplier reliability</t>
  </si>
  <si>
    <t>Average supplier delays increased during the main COVID period.</t>
  </si>
  <si>
    <t>Supplier follow-up and backup sourcing would support service readiness.</t>
  </si>
  <si>
    <t>Planning</t>
  </si>
  <si>
    <t>COVID demand should be separated from normal seasonal pharmacy demand.</t>
  </si>
  <si>
    <t>This avoids overestimating future baseline demand after crisis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</si>
</sst>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yyyy\-mm\-dd"/>
    <numFmt numFmtId="165" formatCode="\€#,##0.00"/>
    <numFmt numFmtId="166" formatCode="0.0"/>
    <numFmt numFmtId="167" formatCode="\€#,##0"/>
  </numFmts>
  <fonts count="10" x14ac:knownFonts="1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sz val="10"/>
      <color rgb="FFFFFFFF"/>
      <name val="Carlito"/>
    </font>
    <font>
      <b/>
      <sz val="11"/>
      <name val="Carlito"/>
    </font>
    <font>
      <b/>
      <sz val="10"/>
      <color rgb="FF334155"/>
      <name val="Carlito"/>
    </font>
    <font>
      <b/>
      <sz val="16"/>
      <color rgb="FF0F172A"/>
      <name val="Carlito"/>
    </font>
    <font>
      <sz val="10"/>
      <color rgb="FF334155"/>
      <name val="Carlito"/>
    </font>
    <font>
      <i/>
      <sz val="9"/>
      <color rgb="FF475569"/>
      <name val="Carlito"/>
    </font>
    <font>
      <i/>
      <sz val="8"/>
      <color rgb="FF64748B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F766E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CCFBF1"/>
      </patternFill>
    </fill>
    <fill>
      <patternFill patternType="solid">
        <fgColor rgb="FFE0F2FE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/>
    <xf numFmtId="167" fontId="0" fillId="0" borderId="0" xfId="0" applyNumberFormat="1" applyFont="1" applyFill="1" applyBorder="1"/>
    <xf numFmtId="3" fontId="0" fillId="0" borderId="0" xfId="0" applyNumberFormat="1" applyFont="1" applyFill="1" applyBorder="1"/>
    <xf numFmtId="9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/>
    <xf numFmtId="167" fontId="4" fillId="5" borderId="0" xfId="0" applyNumberFormat="1" applyFont="1" applyFill="1" applyBorder="1"/>
    <xf numFmtId="3" fontId="4" fillId="5" borderId="0" xfId="0" applyNumberFormat="1" applyFont="1" applyFill="1" applyBorder="1"/>
    <xf numFmtId="166" fontId="4" fillId="5" borderId="0" xfId="0" applyNumberFormat="1" applyFont="1" applyFill="1" applyBorder="1"/>
    <xf numFmtId="9" fontId="4" fillId="5" borderId="0" xfId="0" applyNumberFormat="1" applyFont="1" applyFill="1" applyBorder="1"/>
    <xf numFmtId="0" fontId="0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7" fillId="11" borderId="0" xfId="0" applyNumberFormat="1" applyFont="1" applyFill="1" applyBorder="1" applyAlignment="1">
      <alignment horizontal="left" vertical="center" wrapText="1"/>
    </xf>
    <xf numFmtId="0" fontId="8" fillId="5" borderId="0" xfId="0" applyNumberFormat="1" applyFont="1" applyFill="1" applyBorder="1" applyAlignment="1">
      <alignment horizontal="center" vertical="center"/>
    </xf>
    <xf numFmtId="0" fontId="5" fillId="6" borderId="0" xfId="0" applyNumberFormat="1" applyFont="1" applyFill="1" applyBorder="1" applyAlignment="1">
      <alignment horizontal="center" vertical="center"/>
    </xf>
    <xf numFmtId="0" fontId="0" fillId="6" borderId="0" xfId="0" applyNumberFormat="1" applyFont="1" applyFill="1" applyBorder="1" applyAlignment="1">
      <alignment horizontal="center" vertical="center"/>
    </xf>
    <xf numFmtId="167" fontId="6" fillId="6" borderId="0" xfId="0" applyNumberFormat="1" applyFont="1" applyFill="1" applyBorder="1" applyAlignment="1">
      <alignment horizontal="center" vertical="center"/>
    </xf>
    <xf numFmtId="0" fontId="9" fillId="6" borderId="0" xfId="0" applyNumberFormat="1" applyFont="1" applyFill="1" applyBorder="1" applyAlignment="1">
      <alignment horizontal="center" vertical="center"/>
    </xf>
    <xf numFmtId="0" fontId="5" fillId="7" borderId="0" xfId="0" applyNumberFormat="1" applyFont="1" applyFill="1" applyBorder="1" applyAlignment="1">
      <alignment horizontal="center" vertical="center"/>
    </xf>
    <xf numFmtId="0" fontId="0" fillId="7" borderId="0" xfId="0" applyNumberFormat="1" applyFont="1" applyFill="1" applyBorder="1" applyAlignment="1">
      <alignment horizontal="center" vertical="center"/>
    </xf>
    <xf numFmtId="3" fontId="6" fillId="7" borderId="0" xfId="0" applyNumberFormat="1" applyFont="1" applyFill="1" applyBorder="1" applyAlignment="1">
      <alignment horizontal="center" vertical="center"/>
    </xf>
    <xf numFmtId="0" fontId="9" fillId="7" borderId="0" xfId="0" applyNumberFormat="1" applyFont="1" applyFill="1" applyBorder="1" applyAlignment="1">
      <alignment horizontal="center" vertical="center"/>
    </xf>
    <xf numFmtId="0" fontId="5" fillId="8" borderId="0" xfId="0" applyNumberFormat="1" applyFont="1" applyFill="1" applyBorder="1" applyAlignment="1">
      <alignment horizontal="center" vertical="center"/>
    </xf>
    <xf numFmtId="0" fontId="0" fillId="8" borderId="0" xfId="0" applyNumberFormat="1" applyFont="1" applyFill="1" applyBorder="1" applyAlignment="1">
      <alignment horizontal="center" vertical="center"/>
    </xf>
    <xf numFmtId="3" fontId="6" fillId="8" borderId="0" xfId="0" applyNumberFormat="1" applyFont="1" applyFill="1" applyBorder="1" applyAlignment="1">
      <alignment horizontal="center" vertical="center"/>
    </xf>
    <xf numFmtId="0" fontId="9" fillId="8" borderId="0" xfId="0" applyNumberFormat="1" applyFont="1" applyFill="1" applyBorder="1" applyAlignment="1">
      <alignment horizontal="center" vertical="center"/>
    </xf>
    <xf numFmtId="0" fontId="5" fillId="9" borderId="0" xfId="0" applyNumberFormat="1" applyFont="1" applyFill="1" applyBorder="1" applyAlignment="1">
      <alignment horizontal="center" vertical="center"/>
    </xf>
    <xf numFmtId="0" fontId="0" fillId="9" borderId="0" xfId="0" applyNumberFormat="1" applyFont="1" applyFill="1" applyBorder="1" applyAlignment="1">
      <alignment horizontal="center" vertical="center"/>
    </xf>
    <xf numFmtId="166" fontId="6" fillId="9" borderId="0" xfId="0" applyNumberFormat="1" applyFont="1" applyFill="1" applyBorder="1" applyAlignment="1">
      <alignment horizontal="center" vertical="center"/>
    </xf>
    <xf numFmtId="0" fontId="9" fillId="9" borderId="0" xfId="0" applyNumberFormat="1" applyFont="1" applyFill="1" applyBorder="1" applyAlignment="1">
      <alignment horizontal="center" vertical="center"/>
    </xf>
    <xf numFmtId="0" fontId="5" fillId="10" borderId="0" xfId="0" applyNumberFormat="1" applyFont="1" applyFill="1" applyBorder="1" applyAlignment="1">
      <alignment horizontal="center" vertical="center"/>
    </xf>
    <xf numFmtId="0" fontId="0" fillId="10" borderId="0" xfId="0" applyNumberFormat="1" applyFont="1" applyFill="1" applyBorder="1" applyAlignment="1">
      <alignment horizontal="center" vertical="center"/>
    </xf>
    <xf numFmtId="3" fontId="6" fillId="10" borderId="0" xfId="0" applyNumberFormat="1" applyFont="1" applyFill="1" applyBorder="1" applyAlignment="1">
      <alignment horizontal="center" vertical="center"/>
    </xf>
    <xf numFmtId="0" fontId="9" fillId="10" borderId="0" xfId="0" applyNumberFormat="1" applyFont="1" applyFill="1" applyBorder="1" applyAlignment="1">
      <alignment horizontal="center" vertical="center"/>
    </xf>
    <xf numFmtId="0" fontId="5" fillId="11" borderId="0" xfId="0" applyNumberFormat="1" applyFont="1" applyFill="1" applyBorder="1" applyAlignment="1">
      <alignment horizontal="center" vertical="center"/>
    </xf>
    <xf numFmtId="0" fontId="0" fillId="11" borderId="0" xfId="0" applyNumberFormat="1" applyFont="1" applyFill="1" applyBorder="1" applyAlignment="1">
      <alignment horizontal="center" vertical="center"/>
    </xf>
    <xf numFmtId="3" fontId="6" fillId="11" borderId="0" xfId="0" applyNumberFormat="1" applyFont="1" applyFill="1" applyBorder="1" applyAlignment="1">
      <alignment horizontal="center" vertical="center"/>
    </xf>
    <xf numFmtId="0" fontId="9" fillId="11" borderId="0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numRef>
              <c:f>'Yearly Summary'!$A$2:$A$5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numCache>
            </c:numRef>
          </c:cat>
          <c:val>
            <c:numRef>
              <c:f>'Yearly Summary'!$B$2:$B$5</c:f>
              <c:numCache>
                <c:formatCode>\€#,##0</c:formatCode>
                <c:ptCount val="4"/>
                <c:pt idx="0">
                  <c:v>46281.22000000003</c:v>
                </c:pt>
                <c:pt idx="1">
                  <c:v>64996.060000000056</c:v>
                </c:pt>
                <c:pt idx="2">
                  <c:v>65753.720000000016</c:v>
                </c:pt>
                <c:pt idx="3">
                  <c:v>53217.170000000006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91915152"/>
        <c:axId val="-691913520"/>
      </c:lineChart>
      <c:catAx>
        <c:axId val="-69191515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691913520"/>
        <c:crosses val="autoZero"/>
        <c:auto val="1"/>
        <c:lblAlgn val="ctr"/>
        <c:lblOffset val="100"/>
        <c:noMultiLvlLbl val="0"/>
      </c:catAx>
      <c:valAx>
        <c:axId val="-69191352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#,##0" sourceLinked="1"/>
        <c:majorTickMark val="none"/>
        <c:minorTickMark val="none"/>
        <c:tickLblPos val="nextTo"/>
        <c:crossAx val="-69191515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OOS</c:v>
          </c:tx>
          <c:invertIfNegative val="1"/>
          <c:cat>
            <c:numRef>
              <c:f>'Yearly Summary'!$A$2:$A$5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numCache>
            </c:numRef>
          </c:cat>
          <c:val>
            <c:numRef>
              <c:f>'Yearly Summary'!$D$2:$D$5</c:f>
              <c:numCache>
                <c:formatCode>#,##0</c:formatCode>
                <c:ptCount val="4"/>
                <c:pt idx="0">
                  <c:v>17</c:v>
                </c:pt>
                <c:pt idx="1">
                  <c:v>13</c:v>
                </c:pt>
                <c:pt idx="2">
                  <c:v>16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91918960"/>
        <c:axId val="-691914608"/>
      </c:barChart>
      <c:catAx>
        <c:axId val="-691918960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691914608"/>
        <c:crosses val="autoZero"/>
        <c:auto val="1"/>
        <c:lblAlgn val="ctr"/>
        <c:lblOffset val="100"/>
        <c:noMultiLvlLbl val="0"/>
      </c:catAx>
      <c:valAx>
        <c:axId val="-69191460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-691918960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'Category Summary'!$A$2:$A$8</c:f>
              <c:strCache>
                <c:ptCount val="7"/>
                <c:pt idx="0">
                  <c:v>Vitamins &amp; Supplements</c:v>
                </c:pt>
                <c:pt idx="1">
                  <c:v>Adult Productive Cough Syrup</c:v>
                </c:pt>
                <c:pt idx="2">
                  <c:v>Adult Dry Cough Syrup</c:v>
                </c:pt>
                <c:pt idx="3">
                  <c:v>Antibiotic Prescriptions</c:v>
                </c:pt>
                <c:pt idx="4">
                  <c:v>Cough Lozenges</c:v>
                </c:pt>
                <c:pt idx="5">
                  <c:v>Antiseptic / Alcohol</c:v>
                </c:pt>
                <c:pt idx="6">
                  <c:v>Children's Dry Cough Syrup</c:v>
                </c:pt>
              </c:strCache>
            </c:strRef>
          </c:cat>
          <c:val>
            <c:numRef>
              <c:f>'Category Summary'!$B$2:$B$8</c:f>
              <c:numCache>
                <c:formatCode>\€#,##0</c:formatCode>
                <c:ptCount val="7"/>
                <c:pt idx="0">
                  <c:v>60378.600000000049</c:v>
                </c:pt>
                <c:pt idx="1">
                  <c:v>28996.920000000013</c:v>
                </c:pt>
                <c:pt idx="2">
                  <c:v>25622.289999999997</c:v>
                </c:pt>
                <c:pt idx="3">
                  <c:v>25361.019999999993</c:v>
                </c:pt>
                <c:pt idx="4">
                  <c:v>18894.549999999996</c:v>
                </c:pt>
                <c:pt idx="5">
                  <c:v>18481.999999999996</c:v>
                </c:pt>
                <c:pt idx="6">
                  <c:v>14820.340000000009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91918416"/>
        <c:axId val="-691922224"/>
      </c:barChart>
      <c:catAx>
        <c:axId val="-691918416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691922224"/>
        <c:crosses val="autoZero"/>
        <c:auto val="1"/>
        <c:lblAlgn val="ctr"/>
        <c:lblOffset val="100"/>
        <c:noMultiLvlLbl val="0"/>
      </c:catAx>
      <c:valAx>
        <c:axId val="-69192222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#,##0" sourceLinked="1"/>
        <c:majorTickMark val="none"/>
        <c:minorTickMark val="none"/>
        <c:tickLblPos val="nextTo"/>
        <c:crossAx val="-691918416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Growth</c:v>
          </c:tx>
          <c:invertIfNegative val="1"/>
          <c:cat>
            <c:strRef>
              <c:f>'Category Summary'!$A$7:$A$13</c:f>
              <c:strCache>
                <c:ptCount val="7"/>
                <c:pt idx="0">
                  <c:v>Antiseptic / Alcohol</c:v>
                </c:pt>
                <c:pt idx="1">
                  <c:v>Children's Dry Cough Syrup</c:v>
                </c:pt>
                <c:pt idx="2">
                  <c:v>Children's Productive Cough Syrup</c:v>
                </c:pt>
                <c:pt idx="3">
                  <c:v>Hand Gloves</c:v>
                </c:pt>
                <c:pt idx="4">
                  <c:v>KN95/FFP2 Masks</c:v>
                </c:pt>
                <c:pt idx="5">
                  <c:v>Simple Masks</c:v>
                </c:pt>
                <c:pt idx="6">
                  <c:v>Pharmacy COVID Test Service</c:v>
                </c:pt>
              </c:strCache>
            </c:strRef>
          </c:cat>
          <c:val>
            <c:numRef>
              <c:f>'Category Summary'!$I$7:$I$13</c:f>
              <c:numCache>
                <c:formatCode>0%</c:formatCode>
                <c:ptCount val="7"/>
                <c:pt idx="0">
                  <c:v>2.1702637889688248</c:v>
                </c:pt>
                <c:pt idx="1">
                  <c:v>0.12523020257826878</c:v>
                </c:pt>
                <c:pt idx="2">
                  <c:v>9.1726618705036067E-2</c:v>
                </c:pt>
                <c:pt idx="3">
                  <c:v>1.9338521400778208</c:v>
                </c:pt>
                <c:pt idx="4">
                  <c:v>1.9001883239171375</c:v>
                </c:pt>
                <c:pt idx="5">
                  <c:v>2.0955165692007798</c:v>
                </c:pt>
                <c:pt idx="6">
                  <c:v>0.35416666666666674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91920048"/>
        <c:axId val="-859846544"/>
      </c:barChart>
      <c:catAx>
        <c:axId val="-69192004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859846544"/>
        <c:crosses val="autoZero"/>
        <c:auto val="1"/>
        <c:lblAlgn val="ctr"/>
        <c:lblOffset val="100"/>
        <c:noMultiLvlLbl val="0"/>
      </c:catAx>
      <c:valAx>
        <c:axId val="-85984654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-691920048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5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harmacyCovidData" displayName="PharmacyCovidData" ref="A1:M2705">
  <tableColumns count="13">
    <tableColumn id="1" name="Week_Start"/>
    <tableColumn id="2" name="Category"/>
    <tableColumn id="3" name="Units_Sold"/>
    <tableColumn id="4" name="Unit_Price_EUR"/>
    <tableColumn id="5" name="Revenue_EUR"/>
    <tableColumn id="6" name="Stock_Start"/>
    <tableColumn id="7" name="Stock_End"/>
    <tableColumn id="8" name="Supplier_Delay_Days"/>
    <tableColumn id="9" name="Demand_Spike"/>
    <tableColumn id="10" name="Out_of_Stock"/>
    <tableColumn id="11" name="Notes"/>
    <tableColumn id="12" name="Year"/>
    <tableColumn id="13" name="Peri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05"/>
  <sheetViews>
    <sheetView workbookViewId="0"/>
  </sheetViews>
  <sheetFormatPr defaultRowHeight="15" x14ac:dyDescent="0.25"/>
  <cols>
    <col min="1" max="1" width="16" customWidth="1"/>
    <col min="2" max="2" width="30" customWidth="1"/>
    <col min="3" max="10" width="16" customWidth="1"/>
    <col min="11" max="11" width="22" customWidth="1"/>
    <col min="12" max="13" width="16" customWidth="1"/>
  </cols>
  <sheetData>
    <row r="1" spans="1:13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8</v>
      </c>
    </row>
    <row r="2" spans="1:13" x14ac:dyDescent="0.25">
      <c r="A2" s="2">
        <v>43472</v>
      </c>
      <c r="B2" t="s">
        <v>32</v>
      </c>
      <c r="C2">
        <v>29</v>
      </c>
      <c r="D2" s="3">
        <v>6.62</v>
      </c>
      <c r="E2" s="3">
        <v>191.98</v>
      </c>
      <c r="F2">
        <v>38</v>
      </c>
      <c r="G2">
        <v>14</v>
      </c>
      <c r="H2" s="4">
        <v>1</v>
      </c>
      <c r="I2" t="s">
        <v>33</v>
      </c>
      <c r="J2" t="s">
        <v>33</v>
      </c>
      <c r="L2">
        <f t="shared" ref="L2:L65" si="0">YEAR(A2)</f>
        <v>2019</v>
      </c>
      <c r="M2" t="str">
        <f t="shared" ref="M2:M65" si="1">IF(L2=2019,"Pre-COVID","COVID Period")</f>
        <v>Pre-COVID</v>
      </c>
    </row>
    <row r="3" spans="1:13" x14ac:dyDescent="0.25">
      <c r="A3" s="2">
        <v>43472</v>
      </c>
      <c r="B3" t="s">
        <v>34</v>
      </c>
      <c r="C3">
        <v>21</v>
      </c>
      <c r="D3" s="3">
        <v>7.13</v>
      </c>
      <c r="E3" s="3">
        <v>149.72999999999999</v>
      </c>
      <c r="F3">
        <v>22</v>
      </c>
      <c r="G3">
        <v>3</v>
      </c>
      <c r="H3" s="4">
        <v>0.3</v>
      </c>
      <c r="I3" t="s">
        <v>33</v>
      </c>
      <c r="J3" t="s">
        <v>33</v>
      </c>
      <c r="L3">
        <f t="shared" si="0"/>
        <v>2019</v>
      </c>
      <c r="M3" t="str">
        <f t="shared" si="1"/>
        <v>Pre-COVID</v>
      </c>
    </row>
    <row r="4" spans="1:13" x14ac:dyDescent="0.25">
      <c r="A4" s="2">
        <v>43472</v>
      </c>
      <c r="B4" t="s">
        <v>35</v>
      </c>
      <c r="C4">
        <v>9</v>
      </c>
      <c r="D4" s="3">
        <v>5.95</v>
      </c>
      <c r="E4" s="3">
        <v>53.55</v>
      </c>
      <c r="F4">
        <v>13</v>
      </c>
      <c r="G4">
        <v>5</v>
      </c>
      <c r="H4" s="4">
        <v>1.5</v>
      </c>
      <c r="I4" t="s">
        <v>33</v>
      </c>
      <c r="J4" t="s">
        <v>33</v>
      </c>
      <c r="L4">
        <f t="shared" si="0"/>
        <v>2019</v>
      </c>
      <c r="M4" t="str">
        <f t="shared" si="1"/>
        <v>Pre-COVID</v>
      </c>
    </row>
    <row r="5" spans="1:13" x14ac:dyDescent="0.25">
      <c r="A5" s="2">
        <v>43472</v>
      </c>
      <c r="B5" t="s">
        <v>36</v>
      </c>
      <c r="C5">
        <v>15</v>
      </c>
      <c r="D5" s="3">
        <v>6.41</v>
      </c>
      <c r="E5" s="3">
        <v>96.15</v>
      </c>
      <c r="F5">
        <v>19</v>
      </c>
      <c r="G5">
        <v>4</v>
      </c>
      <c r="H5" s="4">
        <v>1.7</v>
      </c>
      <c r="I5" t="s">
        <v>33</v>
      </c>
      <c r="J5" t="s">
        <v>33</v>
      </c>
      <c r="L5">
        <f t="shared" si="0"/>
        <v>2019</v>
      </c>
      <c r="M5" t="str">
        <f t="shared" si="1"/>
        <v>Pre-COVID</v>
      </c>
    </row>
    <row r="6" spans="1:13" x14ac:dyDescent="0.25">
      <c r="A6" s="2">
        <v>43472</v>
      </c>
      <c r="B6" t="s">
        <v>37</v>
      </c>
      <c r="C6">
        <v>25</v>
      </c>
      <c r="D6" s="3">
        <v>3.29</v>
      </c>
      <c r="E6" s="3">
        <v>82.25</v>
      </c>
      <c r="F6">
        <v>35</v>
      </c>
      <c r="G6">
        <v>13</v>
      </c>
      <c r="H6" s="4">
        <v>0.8</v>
      </c>
      <c r="I6" t="s">
        <v>33</v>
      </c>
      <c r="J6" t="s">
        <v>33</v>
      </c>
      <c r="L6">
        <f t="shared" si="0"/>
        <v>2019</v>
      </c>
      <c r="M6" t="str">
        <f t="shared" si="1"/>
        <v>Pre-COVID</v>
      </c>
    </row>
    <row r="7" spans="1:13" x14ac:dyDescent="0.25">
      <c r="A7" s="2">
        <v>43472</v>
      </c>
      <c r="B7" t="s">
        <v>38</v>
      </c>
      <c r="C7">
        <v>13</v>
      </c>
      <c r="D7" s="3">
        <v>8.1999999999999993</v>
      </c>
      <c r="E7" s="3">
        <v>106.6</v>
      </c>
      <c r="F7">
        <v>14</v>
      </c>
      <c r="G7">
        <v>3</v>
      </c>
      <c r="H7" s="4">
        <v>0.6</v>
      </c>
      <c r="I7" t="s">
        <v>33</v>
      </c>
      <c r="J7" t="s">
        <v>33</v>
      </c>
      <c r="L7">
        <f t="shared" si="0"/>
        <v>2019</v>
      </c>
      <c r="M7" t="str">
        <f t="shared" si="1"/>
        <v>Pre-COVID</v>
      </c>
    </row>
    <row r="8" spans="1:13" x14ac:dyDescent="0.25">
      <c r="A8" s="2">
        <v>43472</v>
      </c>
      <c r="B8" t="s">
        <v>39</v>
      </c>
      <c r="C8">
        <v>28</v>
      </c>
      <c r="D8" s="3">
        <v>11.96</v>
      </c>
      <c r="E8" s="3">
        <v>334.88</v>
      </c>
      <c r="F8">
        <v>38</v>
      </c>
      <c r="G8">
        <v>11</v>
      </c>
      <c r="H8" s="4">
        <v>0.4</v>
      </c>
      <c r="I8" t="s">
        <v>33</v>
      </c>
      <c r="J8" t="s">
        <v>33</v>
      </c>
      <c r="L8">
        <f t="shared" si="0"/>
        <v>2019</v>
      </c>
      <c r="M8" t="str">
        <f t="shared" si="1"/>
        <v>Pre-COVID</v>
      </c>
    </row>
    <row r="9" spans="1:13" x14ac:dyDescent="0.25">
      <c r="A9" s="2">
        <v>43472</v>
      </c>
      <c r="B9" t="s">
        <v>40</v>
      </c>
      <c r="C9">
        <v>9</v>
      </c>
      <c r="D9" s="3">
        <v>0.68</v>
      </c>
      <c r="E9" s="3">
        <v>6.12</v>
      </c>
      <c r="F9">
        <v>13</v>
      </c>
      <c r="G9">
        <v>6</v>
      </c>
      <c r="H9" s="4">
        <v>0.7</v>
      </c>
      <c r="I9" t="s">
        <v>33</v>
      </c>
      <c r="J9" t="s">
        <v>33</v>
      </c>
      <c r="L9">
        <f t="shared" si="0"/>
        <v>2019</v>
      </c>
      <c r="M9" t="str">
        <f t="shared" si="1"/>
        <v>Pre-COVID</v>
      </c>
    </row>
    <row r="10" spans="1:13" x14ac:dyDescent="0.25">
      <c r="A10" s="2">
        <v>43472</v>
      </c>
      <c r="B10" t="s">
        <v>41</v>
      </c>
      <c r="C10">
        <v>8</v>
      </c>
      <c r="D10" s="3">
        <v>1.36</v>
      </c>
      <c r="E10" s="3">
        <v>10.88</v>
      </c>
      <c r="F10">
        <v>12</v>
      </c>
      <c r="G10">
        <v>4</v>
      </c>
      <c r="H10" s="4">
        <v>0.5</v>
      </c>
      <c r="I10" t="s">
        <v>33</v>
      </c>
      <c r="J10" t="s">
        <v>33</v>
      </c>
      <c r="L10">
        <f t="shared" si="0"/>
        <v>2019</v>
      </c>
      <c r="M10" t="str">
        <f t="shared" si="1"/>
        <v>Pre-COVID</v>
      </c>
    </row>
    <row r="11" spans="1:13" x14ac:dyDescent="0.25">
      <c r="A11" s="2">
        <v>43472</v>
      </c>
      <c r="B11" t="s">
        <v>42</v>
      </c>
      <c r="C11">
        <v>6</v>
      </c>
      <c r="D11" s="3">
        <v>4.05</v>
      </c>
      <c r="E11" s="3">
        <v>24.3</v>
      </c>
      <c r="F11">
        <v>7</v>
      </c>
      <c r="G11">
        <v>2</v>
      </c>
      <c r="H11" s="4">
        <v>0.4</v>
      </c>
      <c r="I11" t="s">
        <v>33</v>
      </c>
      <c r="J11" t="s">
        <v>33</v>
      </c>
      <c r="L11">
        <f t="shared" si="0"/>
        <v>2019</v>
      </c>
      <c r="M11" t="str">
        <f t="shared" si="1"/>
        <v>Pre-COVID</v>
      </c>
    </row>
    <row r="12" spans="1:13" x14ac:dyDescent="0.25">
      <c r="A12" s="2">
        <v>43472</v>
      </c>
      <c r="B12" t="s">
        <v>43</v>
      </c>
      <c r="C12">
        <v>4</v>
      </c>
      <c r="D12" s="3">
        <v>5.52</v>
      </c>
      <c r="E12" s="3">
        <v>22.08</v>
      </c>
      <c r="F12">
        <v>6</v>
      </c>
      <c r="G12">
        <v>3</v>
      </c>
      <c r="H12" s="4">
        <v>0.7</v>
      </c>
      <c r="I12" t="s">
        <v>33</v>
      </c>
      <c r="J12" t="s">
        <v>33</v>
      </c>
      <c r="L12">
        <f t="shared" si="0"/>
        <v>2019</v>
      </c>
      <c r="M12" t="str">
        <f t="shared" si="1"/>
        <v>Pre-COVID</v>
      </c>
    </row>
    <row r="13" spans="1:13" x14ac:dyDescent="0.25">
      <c r="A13" s="2">
        <v>43472</v>
      </c>
      <c r="B13" t="s">
        <v>44</v>
      </c>
      <c r="C13">
        <v>0</v>
      </c>
      <c r="D13" s="3">
        <v>5.03</v>
      </c>
      <c r="E13" s="3">
        <v>0</v>
      </c>
      <c r="F13">
        <v>3</v>
      </c>
      <c r="G13">
        <v>3</v>
      </c>
      <c r="H13" s="4">
        <v>0.7</v>
      </c>
      <c r="I13" t="s">
        <v>33</v>
      </c>
      <c r="J13" t="s">
        <v>33</v>
      </c>
      <c r="L13">
        <f t="shared" si="0"/>
        <v>2019</v>
      </c>
      <c r="M13" t="str">
        <f t="shared" si="1"/>
        <v>Pre-COVID</v>
      </c>
    </row>
    <row r="14" spans="1:13" x14ac:dyDescent="0.25">
      <c r="A14" s="2">
        <v>43472</v>
      </c>
      <c r="B14" t="s">
        <v>45</v>
      </c>
      <c r="C14">
        <v>0</v>
      </c>
      <c r="D14" s="3">
        <v>15.3</v>
      </c>
      <c r="E14" s="3">
        <v>0</v>
      </c>
      <c r="F14">
        <v>3</v>
      </c>
      <c r="G14">
        <v>3</v>
      </c>
      <c r="H14" s="4">
        <v>1</v>
      </c>
      <c r="I14" t="s">
        <v>33</v>
      </c>
      <c r="J14" t="s">
        <v>33</v>
      </c>
      <c r="L14">
        <f t="shared" si="0"/>
        <v>2019</v>
      </c>
      <c r="M14" t="str">
        <f t="shared" si="1"/>
        <v>Pre-COVID</v>
      </c>
    </row>
    <row r="15" spans="1:13" x14ac:dyDescent="0.25">
      <c r="A15" s="2">
        <v>43479</v>
      </c>
      <c r="B15" t="s">
        <v>32</v>
      </c>
      <c r="C15">
        <v>27</v>
      </c>
      <c r="D15" s="3">
        <v>6.8</v>
      </c>
      <c r="E15" s="3">
        <v>183.6</v>
      </c>
      <c r="F15">
        <v>28</v>
      </c>
      <c r="G15">
        <v>1</v>
      </c>
      <c r="H15" s="4">
        <v>1.2</v>
      </c>
      <c r="I15" t="s">
        <v>33</v>
      </c>
      <c r="J15" t="s">
        <v>33</v>
      </c>
      <c r="L15">
        <f t="shared" si="0"/>
        <v>2019</v>
      </c>
      <c r="M15" t="str">
        <f t="shared" si="1"/>
        <v>Pre-COVID</v>
      </c>
    </row>
    <row r="16" spans="1:13" x14ac:dyDescent="0.25">
      <c r="A16" s="2">
        <v>43479</v>
      </c>
      <c r="B16" t="s">
        <v>34</v>
      </c>
      <c r="C16">
        <v>21</v>
      </c>
      <c r="D16" s="3">
        <v>7.29</v>
      </c>
      <c r="E16" s="3">
        <v>153.09</v>
      </c>
      <c r="F16">
        <v>35</v>
      </c>
      <c r="G16">
        <v>20</v>
      </c>
      <c r="H16" s="4">
        <v>0.8</v>
      </c>
      <c r="I16" t="s">
        <v>33</v>
      </c>
      <c r="J16" t="s">
        <v>33</v>
      </c>
      <c r="L16">
        <f t="shared" si="0"/>
        <v>2019</v>
      </c>
      <c r="M16" t="str">
        <f t="shared" si="1"/>
        <v>Pre-COVID</v>
      </c>
    </row>
    <row r="17" spans="1:13" x14ac:dyDescent="0.25">
      <c r="A17" s="2">
        <v>43479</v>
      </c>
      <c r="B17" t="s">
        <v>35</v>
      </c>
      <c r="C17">
        <v>15</v>
      </c>
      <c r="D17" s="3">
        <v>6.04</v>
      </c>
      <c r="E17" s="3">
        <v>90.6</v>
      </c>
      <c r="F17">
        <v>20</v>
      </c>
      <c r="G17">
        <v>8</v>
      </c>
      <c r="H17" s="4">
        <v>0.5</v>
      </c>
      <c r="I17" t="s">
        <v>33</v>
      </c>
      <c r="J17" t="s">
        <v>33</v>
      </c>
      <c r="L17">
        <f t="shared" si="0"/>
        <v>2019</v>
      </c>
      <c r="M17" t="str">
        <f t="shared" si="1"/>
        <v>Pre-COVID</v>
      </c>
    </row>
    <row r="18" spans="1:13" x14ac:dyDescent="0.25">
      <c r="A18" s="2">
        <v>43479</v>
      </c>
      <c r="B18" t="s">
        <v>36</v>
      </c>
      <c r="C18">
        <v>12</v>
      </c>
      <c r="D18" s="3">
        <v>6.43</v>
      </c>
      <c r="E18" s="3">
        <v>77.16</v>
      </c>
      <c r="F18">
        <v>15</v>
      </c>
      <c r="G18">
        <v>5</v>
      </c>
      <c r="H18" s="4">
        <v>0</v>
      </c>
      <c r="I18" t="s">
        <v>33</v>
      </c>
      <c r="J18" t="s">
        <v>33</v>
      </c>
      <c r="L18">
        <f t="shared" si="0"/>
        <v>2019</v>
      </c>
      <c r="M18" t="str">
        <f t="shared" si="1"/>
        <v>Pre-COVID</v>
      </c>
    </row>
    <row r="19" spans="1:13" x14ac:dyDescent="0.25">
      <c r="A19" s="2">
        <v>43479</v>
      </c>
      <c r="B19" t="s">
        <v>37</v>
      </c>
      <c r="C19">
        <v>36</v>
      </c>
      <c r="D19" s="3">
        <v>3.34</v>
      </c>
      <c r="E19" s="3">
        <v>120.24</v>
      </c>
      <c r="F19">
        <v>46</v>
      </c>
      <c r="G19">
        <v>16</v>
      </c>
      <c r="H19" s="4">
        <v>1</v>
      </c>
      <c r="I19" t="s">
        <v>33</v>
      </c>
      <c r="J19" t="s">
        <v>33</v>
      </c>
      <c r="L19">
        <f t="shared" si="0"/>
        <v>2019</v>
      </c>
      <c r="M19" t="str">
        <f t="shared" si="1"/>
        <v>Pre-COVID</v>
      </c>
    </row>
    <row r="20" spans="1:13" x14ac:dyDescent="0.25">
      <c r="A20" s="2">
        <v>43479</v>
      </c>
      <c r="B20" t="s">
        <v>38</v>
      </c>
      <c r="C20">
        <v>14</v>
      </c>
      <c r="D20" s="3">
        <v>8.61</v>
      </c>
      <c r="E20" s="3">
        <v>120.54</v>
      </c>
      <c r="F20">
        <v>22</v>
      </c>
      <c r="G20">
        <v>9</v>
      </c>
      <c r="H20" s="4">
        <v>0.6</v>
      </c>
      <c r="I20" t="s">
        <v>33</v>
      </c>
      <c r="J20" t="s">
        <v>33</v>
      </c>
      <c r="L20">
        <f t="shared" si="0"/>
        <v>2019</v>
      </c>
      <c r="M20" t="str">
        <f t="shared" si="1"/>
        <v>Pre-COVID</v>
      </c>
    </row>
    <row r="21" spans="1:13" x14ac:dyDescent="0.25">
      <c r="A21" s="2">
        <v>43479</v>
      </c>
      <c r="B21" t="s">
        <v>39</v>
      </c>
      <c r="C21">
        <v>24</v>
      </c>
      <c r="D21" s="3">
        <v>11.22</v>
      </c>
      <c r="E21" s="3">
        <v>269.27999999999997</v>
      </c>
      <c r="F21">
        <v>37</v>
      </c>
      <c r="G21">
        <v>18</v>
      </c>
      <c r="H21" s="4">
        <v>1.1000000000000001</v>
      </c>
      <c r="I21" t="s">
        <v>33</v>
      </c>
      <c r="J21" t="s">
        <v>33</v>
      </c>
      <c r="L21">
        <f t="shared" si="0"/>
        <v>2019</v>
      </c>
      <c r="M21" t="str">
        <f t="shared" si="1"/>
        <v>Pre-COVID</v>
      </c>
    </row>
    <row r="22" spans="1:13" x14ac:dyDescent="0.25">
      <c r="A22" s="2">
        <v>43479</v>
      </c>
      <c r="B22" t="s">
        <v>40</v>
      </c>
      <c r="C22">
        <v>10</v>
      </c>
      <c r="D22" s="3">
        <v>0.68</v>
      </c>
      <c r="E22" s="3">
        <v>6.8</v>
      </c>
      <c r="F22">
        <v>12</v>
      </c>
      <c r="G22">
        <v>3</v>
      </c>
      <c r="H22" s="4">
        <v>0.9</v>
      </c>
      <c r="I22" t="s">
        <v>33</v>
      </c>
      <c r="J22" t="s">
        <v>33</v>
      </c>
      <c r="L22">
        <f t="shared" si="0"/>
        <v>2019</v>
      </c>
      <c r="M22" t="str">
        <f t="shared" si="1"/>
        <v>Pre-COVID</v>
      </c>
    </row>
    <row r="23" spans="1:13" x14ac:dyDescent="0.25">
      <c r="A23" s="2">
        <v>43479</v>
      </c>
      <c r="B23" t="s">
        <v>41</v>
      </c>
      <c r="C23">
        <v>8</v>
      </c>
      <c r="D23" s="3">
        <v>1.35</v>
      </c>
      <c r="E23" s="3">
        <v>10.8</v>
      </c>
      <c r="F23">
        <v>8</v>
      </c>
      <c r="G23">
        <v>0</v>
      </c>
      <c r="H23" s="4">
        <v>0.8</v>
      </c>
      <c r="I23" t="s">
        <v>33</v>
      </c>
      <c r="J23" t="s">
        <v>33</v>
      </c>
      <c r="L23">
        <f t="shared" si="0"/>
        <v>2019</v>
      </c>
      <c r="M23" t="str">
        <f t="shared" si="1"/>
        <v>Pre-COVID</v>
      </c>
    </row>
    <row r="24" spans="1:13" x14ac:dyDescent="0.25">
      <c r="A24" s="2">
        <v>43479</v>
      </c>
      <c r="B24" t="s">
        <v>42</v>
      </c>
      <c r="C24">
        <v>7</v>
      </c>
      <c r="D24" s="3">
        <v>4.38</v>
      </c>
      <c r="E24" s="3">
        <v>30.66</v>
      </c>
      <c r="F24">
        <v>10</v>
      </c>
      <c r="G24">
        <v>3</v>
      </c>
      <c r="H24" s="4">
        <v>1.6</v>
      </c>
      <c r="I24" t="s">
        <v>33</v>
      </c>
      <c r="J24" t="s">
        <v>33</v>
      </c>
      <c r="L24">
        <f t="shared" si="0"/>
        <v>2019</v>
      </c>
      <c r="M24" t="str">
        <f t="shared" si="1"/>
        <v>Pre-COVID</v>
      </c>
    </row>
    <row r="25" spans="1:13" x14ac:dyDescent="0.25">
      <c r="A25" s="2">
        <v>43479</v>
      </c>
      <c r="B25" t="s">
        <v>43</v>
      </c>
      <c r="C25">
        <v>7</v>
      </c>
      <c r="D25" s="3">
        <v>5.36</v>
      </c>
      <c r="E25" s="3">
        <v>37.520000000000003</v>
      </c>
      <c r="F25">
        <v>7</v>
      </c>
      <c r="G25">
        <v>1</v>
      </c>
      <c r="H25" s="4">
        <v>1.4</v>
      </c>
      <c r="I25" t="s">
        <v>33</v>
      </c>
      <c r="J25" t="s">
        <v>33</v>
      </c>
      <c r="L25">
        <f t="shared" si="0"/>
        <v>2019</v>
      </c>
      <c r="M25" t="str">
        <f t="shared" si="1"/>
        <v>Pre-COVID</v>
      </c>
    </row>
    <row r="26" spans="1:13" x14ac:dyDescent="0.25">
      <c r="A26" s="2">
        <v>43479</v>
      </c>
      <c r="B26" t="s">
        <v>44</v>
      </c>
      <c r="C26">
        <v>0</v>
      </c>
      <c r="D26" s="3">
        <v>4.79</v>
      </c>
      <c r="E26" s="3">
        <v>0</v>
      </c>
      <c r="F26">
        <v>3</v>
      </c>
      <c r="G26">
        <v>3</v>
      </c>
      <c r="H26" s="4">
        <v>0.6</v>
      </c>
      <c r="I26" t="s">
        <v>33</v>
      </c>
      <c r="J26" t="s">
        <v>33</v>
      </c>
      <c r="L26">
        <f t="shared" si="0"/>
        <v>2019</v>
      </c>
      <c r="M26" t="str">
        <f t="shared" si="1"/>
        <v>Pre-COVID</v>
      </c>
    </row>
    <row r="27" spans="1:13" x14ac:dyDescent="0.25">
      <c r="A27" s="2">
        <v>43479</v>
      </c>
      <c r="B27" t="s">
        <v>45</v>
      </c>
      <c r="C27">
        <v>0</v>
      </c>
      <c r="D27" s="3">
        <v>14.58</v>
      </c>
      <c r="E27" s="3">
        <v>0</v>
      </c>
      <c r="F27">
        <v>3</v>
      </c>
      <c r="G27">
        <v>3</v>
      </c>
      <c r="H27" s="4">
        <v>1.1000000000000001</v>
      </c>
      <c r="I27" t="s">
        <v>33</v>
      </c>
      <c r="J27" t="s">
        <v>33</v>
      </c>
      <c r="L27">
        <f t="shared" si="0"/>
        <v>2019</v>
      </c>
      <c r="M27" t="str">
        <f t="shared" si="1"/>
        <v>Pre-COVID</v>
      </c>
    </row>
    <row r="28" spans="1:13" x14ac:dyDescent="0.25">
      <c r="A28" s="2">
        <v>43486</v>
      </c>
      <c r="B28" t="s">
        <v>32</v>
      </c>
      <c r="C28">
        <v>23</v>
      </c>
      <c r="D28" s="3">
        <v>6.69</v>
      </c>
      <c r="E28" s="3">
        <v>153.87</v>
      </c>
      <c r="F28">
        <v>34</v>
      </c>
      <c r="G28">
        <v>13</v>
      </c>
      <c r="H28" s="4">
        <v>0.9</v>
      </c>
      <c r="I28" t="s">
        <v>33</v>
      </c>
      <c r="J28" t="s">
        <v>33</v>
      </c>
      <c r="L28">
        <f t="shared" si="0"/>
        <v>2019</v>
      </c>
      <c r="M28" t="str">
        <f t="shared" si="1"/>
        <v>Pre-COVID</v>
      </c>
    </row>
    <row r="29" spans="1:13" x14ac:dyDescent="0.25">
      <c r="A29" s="2">
        <v>43486</v>
      </c>
      <c r="B29" t="s">
        <v>34</v>
      </c>
      <c r="C29">
        <v>19</v>
      </c>
      <c r="D29" s="3">
        <v>7.27</v>
      </c>
      <c r="E29" s="3">
        <v>138.13</v>
      </c>
      <c r="F29">
        <v>21</v>
      </c>
      <c r="G29">
        <v>3</v>
      </c>
      <c r="H29" s="4">
        <v>0.6</v>
      </c>
      <c r="I29" t="s">
        <v>33</v>
      </c>
      <c r="J29" t="s">
        <v>33</v>
      </c>
      <c r="L29">
        <f t="shared" si="0"/>
        <v>2019</v>
      </c>
      <c r="M29" t="str">
        <f t="shared" si="1"/>
        <v>Pre-COVID</v>
      </c>
    </row>
    <row r="30" spans="1:13" x14ac:dyDescent="0.25">
      <c r="A30" s="2">
        <v>43486</v>
      </c>
      <c r="B30" t="s">
        <v>35</v>
      </c>
      <c r="C30">
        <v>13</v>
      </c>
      <c r="D30" s="3">
        <v>6</v>
      </c>
      <c r="E30" s="3">
        <v>78</v>
      </c>
      <c r="F30">
        <v>16</v>
      </c>
      <c r="G30">
        <v>5</v>
      </c>
      <c r="H30" s="4">
        <v>0.2</v>
      </c>
      <c r="I30" t="s">
        <v>33</v>
      </c>
      <c r="J30" t="s">
        <v>33</v>
      </c>
      <c r="L30">
        <f t="shared" si="0"/>
        <v>2019</v>
      </c>
      <c r="M30" t="str">
        <f t="shared" si="1"/>
        <v>Pre-COVID</v>
      </c>
    </row>
    <row r="31" spans="1:13" x14ac:dyDescent="0.25">
      <c r="A31" s="2">
        <v>43486</v>
      </c>
      <c r="B31" t="s">
        <v>36</v>
      </c>
      <c r="C31">
        <v>12</v>
      </c>
      <c r="D31" s="3">
        <v>6.2</v>
      </c>
      <c r="E31" s="3">
        <v>74.400000000000006</v>
      </c>
      <c r="F31">
        <v>19</v>
      </c>
      <c r="G31">
        <v>10</v>
      </c>
      <c r="H31" s="4">
        <v>1.3</v>
      </c>
      <c r="I31" t="s">
        <v>33</v>
      </c>
      <c r="J31" t="s">
        <v>33</v>
      </c>
      <c r="L31">
        <f t="shared" si="0"/>
        <v>2019</v>
      </c>
      <c r="M31" t="str">
        <f t="shared" si="1"/>
        <v>Pre-COVID</v>
      </c>
    </row>
    <row r="32" spans="1:13" x14ac:dyDescent="0.25">
      <c r="A32" s="2">
        <v>43486</v>
      </c>
      <c r="B32" t="s">
        <v>37</v>
      </c>
      <c r="C32">
        <v>20</v>
      </c>
      <c r="D32" s="3">
        <v>3.25</v>
      </c>
      <c r="E32" s="3">
        <v>65</v>
      </c>
      <c r="F32">
        <v>30</v>
      </c>
      <c r="G32">
        <v>13</v>
      </c>
      <c r="H32" s="4">
        <v>0.5</v>
      </c>
      <c r="I32" t="s">
        <v>33</v>
      </c>
      <c r="J32" t="s">
        <v>33</v>
      </c>
      <c r="L32">
        <f t="shared" si="0"/>
        <v>2019</v>
      </c>
      <c r="M32" t="str">
        <f t="shared" si="1"/>
        <v>Pre-COVID</v>
      </c>
    </row>
    <row r="33" spans="1:13" x14ac:dyDescent="0.25">
      <c r="A33" s="2">
        <v>43486</v>
      </c>
      <c r="B33" t="s">
        <v>38</v>
      </c>
      <c r="C33">
        <v>14</v>
      </c>
      <c r="D33" s="3">
        <v>8.8699999999999992</v>
      </c>
      <c r="E33" s="3">
        <v>124.18</v>
      </c>
      <c r="F33">
        <v>20</v>
      </c>
      <c r="G33">
        <v>9</v>
      </c>
      <c r="H33" s="4">
        <v>0.6</v>
      </c>
      <c r="I33" t="s">
        <v>33</v>
      </c>
      <c r="J33" t="s">
        <v>33</v>
      </c>
      <c r="L33">
        <f t="shared" si="0"/>
        <v>2019</v>
      </c>
      <c r="M33" t="str">
        <f t="shared" si="1"/>
        <v>Pre-COVID</v>
      </c>
    </row>
    <row r="34" spans="1:13" x14ac:dyDescent="0.25">
      <c r="A34" s="2">
        <v>43486</v>
      </c>
      <c r="B34" t="s">
        <v>39</v>
      </c>
      <c r="C34">
        <v>25</v>
      </c>
      <c r="D34" s="3">
        <v>11.15</v>
      </c>
      <c r="E34" s="3">
        <v>278.75</v>
      </c>
      <c r="F34">
        <v>39</v>
      </c>
      <c r="G34">
        <v>19</v>
      </c>
      <c r="H34" s="4">
        <v>0.7</v>
      </c>
      <c r="I34" t="s">
        <v>33</v>
      </c>
      <c r="J34" t="s">
        <v>33</v>
      </c>
      <c r="L34">
        <f t="shared" si="0"/>
        <v>2019</v>
      </c>
      <c r="M34" t="str">
        <f t="shared" si="1"/>
        <v>Pre-COVID</v>
      </c>
    </row>
    <row r="35" spans="1:13" x14ac:dyDescent="0.25">
      <c r="A35" s="2">
        <v>43486</v>
      </c>
      <c r="B35" t="s">
        <v>40</v>
      </c>
      <c r="C35">
        <v>8</v>
      </c>
      <c r="D35" s="3">
        <v>0.64</v>
      </c>
      <c r="E35" s="3">
        <v>5.12</v>
      </c>
      <c r="F35">
        <v>12</v>
      </c>
      <c r="G35">
        <v>5</v>
      </c>
      <c r="H35" s="4">
        <v>1.5</v>
      </c>
      <c r="I35" t="s">
        <v>33</v>
      </c>
      <c r="J35" t="s">
        <v>33</v>
      </c>
      <c r="L35">
        <f t="shared" si="0"/>
        <v>2019</v>
      </c>
      <c r="M35" t="str">
        <f t="shared" si="1"/>
        <v>Pre-COVID</v>
      </c>
    </row>
    <row r="36" spans="1:13" x14ac:dyDescent="0.25">
      <c r="A36" s="2">
        <v>43486</v>
      </c>
      <c r="B36" t="s">
        <v>41</v>
      </c>
      <c r="C36">
        <v>7</v>
      </c>
      <c r="D36" s="3">
        <v>1.35</v>
      </c>
      <c r="E36" s="3">
        <v>9.4499999999999993</v>
      </c>
      <c r="F36">
        <v>8</v>
      </c>
      <c r="G36">
        <v>1</v>
      </c>
      <c r="H36" s="4">
        <v>1.4</v>
      </c>
      <c r="I36" t="s">
        <v>33</v>
      </c>
      <c r="J36" t="s">
        <v>33</v>
      </c>
      <c r="L36">
        <f t="shared" si="0"/>
        <v>2019</v>
      </c>
      <c r="M36" t="str">
        <f t="shared" si="1"/>
        <v>Pre-COVID</v>
      </c>
    </row>
    <row r="37" spans="1:13" x14ac:dyDescent="0.25">
      <c r="A37" s="2">
        <v>43486</v>
      </c>
      <c r="B37" t="s">
        <v>42</v>
      </c>
      <c r="C37">
        <v>9</v>
      </c>
      <c r="D37" s="3">
        <v>4.34</v>
      </c>
      <c r="E37" s="3">
        <v>39.06</v>
      </c>
      <c r="F37">
        <v>14</v>
      </c>
      <c r="G37">
        <v>7</v>
      </c>
      <c r="H37" s="4">
        <v>0.5</v>
      </c>
      <c r="I37" t="s">
        <v>33</v>
      </c>
      <c r="J37" t="s">
        <v>33</v>
      </c>
      <c r="L37">
        <f t="shared" si="0"/>
        <v>2019</v>
      </c>
      <c r="M37" t="str">
        <f t="shared" si="1"/>
        <v>Pre-COVID</v>
      </c>
    </row>
    <row r="38" spans="1:13" x14ac:dyDescent="0.25">
      <c r="A38" s="2">
        <v>43486</v>
      </c>
      <c r="B38" t="s">
        <v>43</v>
      </c>
      <c r="C38">
        <v>4</v>
      </c>
      <c r="D38" s="3">
        <v>5.67</v>
      </c>
      <c r="E38" s="3">
        <v>22.68</v>
      </c>
      <c r="F38">
        <v>5</v>
      </c>
      <c r="G38">
        <v>1</v>
      </c>
      <c r="H38" s="4">
        <v>0.9</v>
      </c>
      <c r="I38" t="s">
        <v>33</v>
      </c>
      <c r="J38" t="s">
        <v>33</v>
      </c>
      <c r="L38">
        <f t="shared" si="0"/>
        <v>2019</v>
      </c>
      <c r="M38" t="str">
        <f t="shared" si="1"/>
        <v>Pre-COVID</v>
      </c>
    </row>
    <row r="39" spans="1:13" x14ac:dyDescent="0.25">
      <c r="A39" s="2">
        <v>43486</v>
      </c>
      <c r="B39" t="s">
        <v>44</v>
      </c>
      <c r="C39">
        <v>1</v>
      </c>
      <c r="D39" s="3">
        <v>4.8600000000000003</v>
      </c>
      <c r="E39" s="3">
        <v>4.8600000000000003</v>
      </c>
      <c r="F39">
        <v>3</v>
      </c>
      <c r="G39">
        <v>2</v>
      </c>
      <c r="H39" s="4">
        <v>0.8</v>
      </c>
      <c r="I39" t="s">
        <v>46</v>
      </c>
      <c r="J39" t="s">
        <v>33</v>
      </c>
      <c r="K39" t="s">
        <v>47</v>
      </c>
      <c r="L39">
        <f t="shared" si="0"/>
        <v>2019</v>
      </c>
      <c r="M39" t="str">
        <f t="shared" si="1"/>
        <v>Pre-COVID</v>
      </c>
    </row>
    <row r="40" spans="1:13" x14ac:dyDescent="0.25">
      <c r="A40" s="2">
        <v>43486</v>
      </c>
      <c r="B40" t="s">
        <v>45</v>
      </c>
      <c r="C40">
        <v>1</v>
      </c>
      <c r="D40" s="3">
        <v>14.69</v>
      </c>
      <c r="E40" s="3">
        <v>14.69</v>
      </c>
      <c r="F40">
        <v>3</v>
      </c>
      <c r="G40">
        <v>3</v>
      </c>
      <c r="H40" s="4">
        <v>0.2</v>
      </c>
      <c r="I40" t="s">
        <v>46</v>
      </c>
      <c r="J40" t="s">
        <v>33</v>
      </c>
      <c r="L40">
        <f t="shared" si="0"/>
        <v>2019</v>
      </c>
      <c r="M40" t="str">
        <f t="shared" si="1"/>
        <v>Pre-COVID</v>
      </c>
    </row>
    <row r="41" spans="1:13" x14ac:dyDescent="0.25">
      <c r="A41" s="2">
        <v>43493</v>
      </c>
      <c r="B41" t="s">
        <v>32</v>
      </c>
      <c r="C41">
        <v>17</v>
      </c>
      <c r="D41" s="3">
        <v>7.08</v>
      </c>
      <c r="E41" s="3">
        <v>120.36</v>
      </c>
      <c r="F41">
        <v>20</v>
      </c>
      <c r="G41">
        <v>5</v>
      </c>
      <c r="H41" s="4">
        <v>0.4</v>
      </c>
      <c r="I41" t="s">
        <v>33</v>
      </c>
      <c r="J41" t="s">
        <v>33</v>
      </c>
      <c r="L41">
        <f t="shared" si="0"/>
        <v>2019</v>
      </c>
      <c r="M41" t="str">
        <f t="shared" si="1"/>
        <v>Pre-COVID</v>
      </c>
    </row>
    <row r="42" spans="1:13" x14ac:dyDescent="0.25">
      <c r="A42" s="2">
        <v>43493</v>
      </c>
      <c r="B42" t="s">
        <v>34</v>
      </c>
      <c r="C42">
        <v>22</v>
      </c>
      <c r="D42" s="3">
        <v>6.98</v>
      </c>
      <c r="E42" s="3">
        <v>153.56</v>
      </c>
      <c r="F42">
        <v>35</v>
      </c>
      <c r="G42">
        <v>18</v>
      </c>
      <c r="H42" s="4">
        <v>0.6</v>
      </c>
      <c r="I42" t="s">
        <v>33</v>
      </c>
      <c r="J42" t="s">
        <v>33</v>
      </c>
      <c r="L42">
        <f t="shared" si="0"/>
        <v>2019</v>
      </c>
      <c r="M42" t="str">
        <f t="shared" si="1"/>
        <v>Pre-COVID</v>
      </c>
    </row>
    <row r="43" spans="1:13" x14ac:dyDescent="0.25">
      <c r="A43" s="2">
        <v>43493</v>
      </c>
      <c r="B43" t="s">
        <v>35</v>
      </c>
      <c r="C43">
        <v>12</v>
      </c>
      <c r="D43" s="3">
        <v>6.11</v>
      </c>
      <c r="E43" s="3">
        <v>73.319999999999993</v>
      </c>
      <c r="F43">
        <v>15</v>
      </c>
      <c r="G43">
        <v>5</v>
      </c>
      <c r="H43" s="4">
        <v>0.8</v>
      </c>
      <c r="I43" t="s">
        <v>33</v>
      </c>
      <c r="J43" t="s">
        <v>33</v>
      </c>
      <c r="L43">
        <f t="shared" si="0"/>
        <v>2019</v>
      </c>
      <c r="M43" t="str">
        <f t="shared" si="1"/>
        <v>Pre-COVID</v>
      </c>
    </row>
    <row r="44" spans="1:13" x14ac:dyDescent="0.25">
      <c r="A44" s="2">
        <v>43493</v>
      </c>
      <c r="B44" t="s">
        <v>36</v>
      </c>
      <c r="C44">
        <v>13</v>
      </c>
      <c r="D44" s="3">
        <v>6.34</v>
      </c>
      <c r="E44" s="3">
        <v>82.42</v>
      </c>
      <c r="F44">
        <v>16</v>
      </c>
      <c r="G44">
        <v>4</v>
      </c>
      <c r="H44" s="4">
        <v>1.1000000000000001</v>
      </c>
      <c r="I44" t="s">
        <v>33</v>
      </c>
      <c r="J44" t="s">
        <v>33</v>
      </c>
      <c r="L44">
        <f t="shared" si="0"/>
        <v>2019</v>
      </c>
      <c r="M44" t="str">
        <f t="shared" si="1"/>
        <v>Pre-COVID</v>
      </c>
    </row>
    <row r="45" spans="1:13" x14ac:dyDescent="0.25">
      <c r="A45" s="2">
        <v>43493</v>
      </c>
      <c r="B45" t="s">
        <v>37</v>
      </c>
      <c r="C45">
        <v>26</v>
      </c>
      <c r="D45" s="3">
        <v>3.21</v>
      </c>
      <c r="E45" s="3">
        <v>83.46</v>
      </c>
      <c r="F45">
        <v>37</v>
      </c>
      <c r="G45">
        <v>12</v>
      </c>
      <c r="H45" s="4">
        <v>1</v>
      </c>
      <c r="I45" t="s">
        <v>33</v>
      </c>
      <c r="J45" t="s">
        <v>33</v>
      </c>
      <c r="L45">
        <f t="shared" si="0"/>
        <v>2019</v>
      </c>
      <c r="M45" t="str">
        <f t="shared" si="1"/>
        <v>Pre-COVID</v>
      </c>
    </row>
    <row r="46" spans="1:13" x14ac:dyDescent="0.25">
      <c r="A46" s="2">
        <v>43493</v>
      </c>
      <c r="B46" t="s">
        <v>38</v>
      </c>
      <c r="C46">
        <v>15</v>
      </c>
      <c r="D46" s="3">
        <v>8.7899999999999991</v>
      </c>
      <c r="E46" s="3">
        <v>131.85</v>
      </c>
      <c r="F46">
        <v>18</v>
      </c>
      <c r="G46">
        <v>5</v>
      </c>
      <c r="H46" s="4">
        <v>0.3</v>
      </c>
      <c r="I46" t="s">
        <v>33</v>
      </c>
      <c r="J46" t="s">
        <v>33</v>
      </c>
      <c r="L46">
        <f t="shared" si="0"/>
        <v>2019</v>
      </c>
      <c r="M46" t="str">
        <f t="shared" si="1"/>
        <v>Pre-COVID</v>
      </c>
    </row>
    <row r="47" spans="1:13" x14ac:dyDescent="0.25">
      <c r="A47" s="2">
        <v>43493</v>
      </c>
      <c r="B47" t="s">
        <v>39</v>
      </c>
      <c r="C47">
        <v>28</v>
      </c>
      <c r="D47" s="3">
        <v>11.74</v>
      </c>
      <c r="E47" s="3">
        <v>328.72</v>
      </c>
      <c r="F47">
        <v>38</v>
      </c>
      <c r="G47">
        <v>13</v>
      </c>
      <c r="H47" s="4">
        <v>1.5</v>
      </c>
      <c r="I47" t="s">
        <v>33</v>
      </c>
      <c r="J47" t="s">
        <v>33</v>
      </c>
      <c r="L47">
        <f t="shared" si="0"/>
        <v>2019</v>
      </c>
      <c r="M47" t="str">
        <f t="shared" si="1"/>
        <v>Pre-COVID</v>
      </c>
    </row>
    <row r="48" spans="1:13" x14ac:dyDescent="0.25">
      <c r="A48" s="2">
        <v>43493</v>
      </c>
      <c r="B48" t="s">
        <v>40</v>
      </c>
      <c r="C48">
        <v>10</v>
      </c>
      <c r="D48" s="3">
        <v>0.63</v>
      </c>
      <c r="E48" s="3">
        <v>6.3</v>
      </c>
      <c r="F48">
        <v>16</v>
      </c>
      <c r="G48">
        <v>8</v>
      </c>
      <c r="H48" s="4">
        <v>0.7</v>
      </c>
      <c r="I48" t="s">
        <v>33</v>
      </c>
      <c r="J48" t="s">
        <v>33</v>
      </c>
      <c r="L48">
        <f t="shared" si="0"/>
        <v>2019</v>
      </c>
      <c r="M48" t="str">
        <f t="shared" si="1"/>
        <v>Pre-COVID</v>
      </c>
    </row>
    <row r="49" spans="1:13" x14ac:dyDescent="0.25">
      <c r="A49" s="2">
        <v>43493</v>
      </c>
      <c r="B49" t="s">
        <v>41</v>
      </c>
      <c r="C49">
        <v>8</v>
      </c>
      <c r="D49" s="3">
        <v>1.32</v>
      </c>
      <c r="E49" s="3">
        <v>10.56</v>
      </c>
      <c r="F49">
        <v>12</v>
      </c>
      <c r="G49">
        <v>5</v>
      </c>
      <c r="H49" s="4">
        <v>1.4</v>
      </c>
      <c r="I49" t="s">
        <v>33</v>
      </c>
      <c r="J49" t="s">
        <v>33</v>
      </c>
      <c r="L49">
        <f t="shared" si="0"/>
        <v>2019</v>
      </c>
      <c r="M49" t="str">
        <f t="shared" si="1"/>
        <v>Pre-COVID</v>
      </c>
    </row>
    <row r="50" spans="1:13" x14ac:dyDescent="0.25">
      <c r="A50" s="2">
        <v>43493</v>
      </c>
      <c r="B50" t="s">
        <v>42</v>
      </c>
      <c r="C50">
        <v>9</v>
      </c>
      <c r="D50" s="3">
        <v>4.0599999999999996</v>
      </c>
      <c r="E50" s="3">
        <v>36.54</v>
      </c>
      <c r="F50">
        <v>13</v>
      </c>
      <c r="G50">
        <v>5</v>
      </c>
      <c r="H50" s="4">
        <v>1.7</v>
      </c>
      <c r="I50" t="s">
        <v>33</v>
      </c>
      <c r="J50" t="s">
        <v>33</v>
      </c>
      <c r="L50">
        <f t="shared" si="0"/>
        <v>2019</v>
      </c>
      <c r="M50" t="str">
        <f t="shared" si="1"/>
        <v>Pre-COVID</v>
      </c>
    </row>
    <row r="51" spans="1:13" x14ac:dyDescent="0.25">
      <c r="A51" s="2">
        <v>43493</v>
      </c>
      <c r="B51" t="s">
        <v>43</v>
      </c>
      <c r="C51">
        <v>5</v>
      </c>
      <c r="D51" s="3">
        <v>5.33</v>
      </c>
      <c r="E51" s="3">
        <v>26.65</v>
      </c>
      <c r="F51">
        <v>6</v>
      </c>
      <c r="G51">
        <v>1</v>
      </c>
      <c r="H51" s="4">
        <v>0.7</v>
      </c>
      <c r="I51" t="s">
        <v>33</v>
      </c>
      <c r="J51" t="s">
        <v>33</v>
      </c>
      <c r="L51">
        <f t="shared" si="0"/>
        <v>2019</v>
      </c>
      <c r="M51" t="str">
        <f t="shared" si="1"/>
        <v>Pre-COVID</v>
      </c>
    </row>
    <row r="52" spans="1:13" x14ac:dyDescent="0.25">
      <c r="A52" s="2">
        <v>43493</v>
      </c>
      <c r="B52" t="s">
        <v>44</v>
      </c>
      <c r="C52">
        <v>0</v>
      </c>
      <c r="D52" s="3">
        <v>4.8899999999999997</v>
      </c>
      <c r="E52" s="3">
        <v>0</v>
      </c>
      <c r="F52">
        <v>3</v>
      </c>
      <c r="G52">
        <v>3</v>
      </c>
      <c r="H52" s="4">
        <v>0</v>
      </c>
      <c r="I52" t="s">
        <v>33</v>
      </c>
      <c r="J52" t="s">
        <v>33</v>
      </c>
      <c r="L52">
        <f t="shared" si="0"/>
        <v>2019</v>
      </c>
      <c r="M52" t="str">
        <f t="shared" si="1"/>
        <v>Pre-COVID</v>
      </c>
    </row>
    <row r="53" spans="1:13" x14ac:dyDescent="0.25">
      <c r="A53" s="2">
        <v>43493</v>
      </c>
      <c r="B53" t="s">
        <v>45</v>
      </c>
      <c r="C53">
        <v>0</v>
      </c>
      <c r="D53" s="3">
        <v>15.24</v>
      </c>
      <c r="E53" s="3">
        <v>0</v>
      </c>
      <c r="F53">
        <v>3</v>
      </c>
      <c r="G53">
        <v>3</v>
      </c>
      <c r="H53" s="4">
        <v>0.2</v>
      </c>
      <c r="I53" t="s">
        <v>33</v>
      </c>
      <c r="J53" t="s">
        <v>33</v>
      </c>
      <c r="L53">
        <f t="shared" si="0"/>
        <v>2019</v>
      </c>
      <c r="M53" t="str">
        <f t="shared" si="1"/>
        <v>Pre-COVID</v>
      </c>
    </row>
    <row r="54" spans="1:13" x14ac:dyDescent="0.25">
      <c r="A54" s="2">
        <v>43500</v>
      </c>
      <c r="B54" t="s">
        <v>32</v>
      </c>
      <c r="C54">
        <v>17</v>
      </c>
      <c r="D54" s="3">
        <v>7.05</v>
      </c>
      <c r="E54" s="3">
        <v>119.85</v>
      </c>
      <c r="F54">
        <v>24</v>
      </c>
      <c r="G54">
        <v>9</v>
      </c>
      <c r="H54" s="4">
        <v>1.2</v>
      </c>
      <c r="I54" t="s">
        <v>33</v>
      </c>
      <c r="J54" t="s">
        <v>33</v>
      </c>
      <c r="L54">
        <f t="shared" si="0"/>
        <v>2019</v>
      </c>
      <c r="M54" t="str">
        <f t="shared" si="1"/>
        <v>Pre-COVID</v>
      </c>
    </row>
    <row r="55" spans="1:13" x14ac:dyDescent="0.25">
      <c r="A55" s="2">
        <v>43500</v>
      </c>
      <c r="B55" t="s">
        <v>34</v>
      </c>
      <c r="C55">
        <v>17</v>
      </c>
      <c r="D55" s="3">
        <v>7.1</v>
      </c>
      <c r="E55" s="3">
        <v>120.7</v>
      </c>
      <c r="F55">
        <v>26</v>
      </c>
      <c r="G55">
        <v>11</v>
      </c>
      <c r="H55" s="4">
        <v>0.6</v>
      </c>
      <c r="I55" t="s">
        <v>33</v>
      </c>
      <c r="J55" t="s">
        <v>33</v>
      </c>
      <c r="L55">
        <f t="shared" si="0"/>
        <v>2019</v>
      </c>
      <c r="M55" t="str">
        <f t="shared" si="1"/>
        <v>Pre-COVID</v>
      </c>
    </row>
    <row r="56" spans="1:13" x14ac:dyDescent="0.25">
      <c r="A56" s="2">
        <v>43500</v>
      </c>
      <c r="B56" t="s">
        <v>35</v>
      </c>
      <c r="C56">
        <v>18</v>
      </c>
      <c r="D56" s="3">
        <v>5.75</v>
      </c>
      <c r="E56" s="3">
        <v>103.5</v>
      </c>
      <c r="F56">
        <v>19</v>
      </c>
      <c r="G56">
        <v>3</v>
      </c>
      <c r="H56" s="4">
        <v>0.9</v>
      </c>
      <c r="I56" t="s">
        <v>33</v>
      </c>
      <c r="J56" t="s">
        <v>33</v>
      </c>
      <c r="L56">
        <f t="shared" si="0"/>
        <v>2019</v>
      </c>
      <c r="M56" t="str">
        <f t="shared" si="1"/>
        <v>Pre-COVID</v>
      </c>
    </row>
    <row r="57" spans="1:13" x14ac:dyDescent="0.25">
      <c r="A57" s="2">
        <v>43500</v>
      </c>
      <c r="B57" t="s">
        <v>36</v>
      </c>
      <c r="C57">
        <v>13</v>
      </c>
      <c r="D57" s="3">
        <v>6.2</v>
      </c>
      <c r="E57" s="3">
        <v>80.599999999999994</v>
      </c>
      <c r="F57">
        <v>17</v>
      </c>
      <c r="G57">
        <v>4</v>
      </c>
      <c r="H57" s="4">
        <v>0.6</v>
      </c>
      <c r="I57" t="s">
        <v>33</v>
      </c>
      <c r="J57" t="s">
        <v>33</v>
      </c>
      <c r="L57">
        <f t="shared" si="0"/>
        <v>2019</v>
      </c>
      <c r="M57" t="str">
        <f t="shared" si="1"/>
        <v>Pre-COVID</v>
      </c>
    </row>
    <row r="58" spans="1:13" x14ac:dyDescent="0.25">
      <c r="A58" s="2">
        <v>43500</v>
      </c>
      <c r="B58" t="s">
        <v>37</v>
      </c>
      <c r="C58">
        <v>29</v>
      </c>
      <c r="D58" s="3">
        <v>3.27</v>
      </c>
      <c r="E58" s="3">
        <v>94.83</v>
      </c>
      <c r="F58">
        <v>39</v>
      </c>
      <c r="G58">
        <v>14</v>
      </c>
      <c r="H58" s="4">
        <v>0.5</v>
      </c>
      <c r="I58" t="s">
        <v>33</v>
      </c>
      <c r="J58" t="s">
        <v>33</v>
      </c>
      <c r="L58">
        <f t="shared" si="0"/>
        <v>2019</v>
      </c>
      <c r="M58" t="str">
        <f t="shared" si="1"/>
        <v>Pre-COVID</v>
      </c>
    </row>
    <row r="59" spans="1:13" x14ac:dyDescent="0.25">
      <c r="A59" s="2">
        <v>43500</v>
      </c>
      <c r="B59" t="s">
        <v>38</v>
      </c>
      <c r="C59">
        <v>17</v>
      </c>
      <c r="D59" s="3">
        <v>8.17</v>
      </c>
      <c r="E59" s="3">
        <v>138.88999999999999</v>
      </c>
      <c r="F59">
        <v>21</v>
      </c>
      <c r="G59">
        <v>4</v>
      </c>
      <c r="H59" s="4">
        <v>1.6</v>
      </c>
      <c r="I59" t="s">
        <v>33</v>
      </c>
      <c r="J59" t="s">
        <v>33</v>
      </c>
      <c r="L59">
        <f t="shared" si="0"/>
        <v>2019</v>
      </c>
      <c r="M59" t="str">
        <f t="shared" si="1"/>
        <v>Pre-COVID</v>
      </c>
    </row>
    <row r="60" spans="1:13" x14ac:dyDescent="0.25">
      <c r="A60" s="2">
        <v>43500</v>
      </c>
      <c r="B60" t="s">
        <v>39</v>
      </c>
      <c r="C60">
        <v>27</v>
      </c>
      <c r="D60" s="3">
        <v>11.58</v>
      </c>
      <c r="E60" s="3">
        <v>312.66000000000003</v>
      </c>
      <c r="F60">
        <v>29</v>
      </c>
      <c r="G60">
        <v>3</v>
      </c>
      <c r="H60" s="4">
        <v>0.8</v>
      </c>
      <c r="I60" t="s">
        <v>33</v>
      </c>
      <c r="J60" t="s">
        <v>33</v>
      </c>
      <c r="L60">
        <f t="shared" si="0"/>
        <v>2019</v>
      </c>
      <c r="M60" t="str">
        <f t="shared" si="1"/>
        <v>Pre-COVID</v>
      </c>
    </row>
    <row r="61" spans="1:13" x14ac:dyDescent="0.25">
      <c r="A61" s="2">
        <v>43500</v>
      </c>
      <c r="B61" t="s">
        <v>40</v>
      </c>
      <c r="C61">
        <v>11</v>
      </c>
      <c r="D61" s="3">
        <v>0.64</v>
      </c>
      <c r="E61" s="3">
        <v>7.04</v>
      </c>
      <c r="F61">
        <v>18</v>
      </c>
      <c r="G61">
        <v>10</v>
      </c>
      <c r="H61" s="4">
        <v>0.4</v>
      </c>
      <c r="I61" t="s">
        <v>33</v>
      </c>
      <c r="J61" t="s">
        <v>33</v>
      </c>
      <c r="L61">
        <f t="shared" si="0"/>
        <v>2019</v>
      </c>
      <c r="M61" t="str">
        <f t="shared" si="1"/>
        <v>Pre-COVID</v>
      </c>
    </row>
    <row r="62" spans="1:13" x14ac:dyDescent="0.25">
      <c r="A62" s="2">
        <v>43500</v>
      </c>
      <c r="B62" t="s">
        <v>41</v>
      </c>
      <c r="C62">
        <v>8</v>
      </c>
      <c r="D62" s="3">
        <v>1.4</v>
      </c>
      <c r="E62" s="3">
        <v>11.2</v>
      </c>
      <c r="F62">
        <v>10</v>
      </c>
      <c r="G62">
        <v>3</v>
      </c>
      <c r="H62" s="4">
        <v>0.8</v>
      </c>
      <c r="I62" t="s">
        <v>33</v>
      </c>
      <c r="J62" t="s">
        <v>33</v>
      </c>
      <c r="L62">
        <f t="shared" si="0"/>
        <v>2019</v>
      </c>
      <c r="M62" t="str">
        <f t="shared" si="1"/>
        <v>Pre-COVID</v>
      </c>
    </row>
    <row r="63" spans="1:13" x14ac:dyDescent="0.25">
      <c r="A63" s="2">
        <v>43500</v>
      </c>
      <c r="B63" t="s">
        <v>42</v>
      </c>
      <c r="C63">
        <v>9</v>
      </c>
      <c r="D63" s="3">
        <v>4.3099999999999996</v>
      </c>
      <c r="E63" s="3">
        <v>38.79</v>
      </c>
      <c r="F63">
        <v>10</v>
      </c>
      <c r="G63">
        <v>2</v>
      </c>
      <c r="H63" s="4">
        <v>1.4</v>
      </c>
      <c r="I63" t="s">
        <v>33</v>
      </c>
      <c r="J63" t="s">
        <v>33</v>
      </c>
      <c r="L63">
        <f t="shared" si="0"/>
        <v>2019</v>
      </c>
      <c r="M63" t="str">
        <f t="shared" si="1"/>
        <v>Pre-COVID</v>
      </c>
    </row>
    <row r="64" spans="1:13" x14ac:dyDescent="0.25">
      <c r="A64" s="2">
        <v>43500</v>
      </c>
      <c r="B64" t="s">
        <v>43</v>
      </c>
      <c r="C64">
        <v>6</v>
      </c>
      <c r="D64" s="3">
        <v>5.46</v>
      </c>
      <c r="E64" s="3">
        <v>32.76</v>
      </c>
      <c r="F64">
        <v>7</v>
      </c>
      <c r="G64">
        <v>1</v>
      </c>
      <c r="H64" s="4">
        <v>0.7</v>
      </c>
      <c r="I64" t="s">
        <v>33</v>
      </c>
      <c r="J64" t="s">
        <v>33</v>
      </c>
      <c r="L64">
        <f t="shared" si="0"/>
        <v>2019</v>
      </c>
      <c r="M64" t="str">
        <f t="shared" si="1"/>
        <v>Pre-COVID</v>
      </c>
    </row>
    <row r="65" spans="1:13" x14ac:dyDescent="0.25">
      <c r="A65" s="2">
        <v>43500</v>
      </c>
      <c r="B65" t="s">
        <v>44</v>
      </c>
      <c r="C65">
        <v>0</v>
      </c>
      <c r="D65" s="3">
        <v>4.74</v>
      </c>
      <c r="E65" s="3">
        <v>0</v>
      </c>
      <c r="F65">
        <v>3</v>
      </c>
      <c r="G65">
        <v>3</v>
      </c>
      <c r="H65" s="4">
        <v>1.2</v>
      </c>
      <c r="I65" t="s">
        <v>33</v>
      </c>
      <c r="J65" t="s">
        <v>33</v>
      </c>
      <c r="L65">
        <f t="shared" si="0"/>
        <v>2019</v>
      </c>
      <c r="M65" t="str">
        <f t="shared" si="1"/>
        <v>Pre-COVID</v>
      </c>
    </row>
    <row r="66" spans="1:13" x14ac:dyDescent="0.25">
      <c r="A66" s="2">
        <v>43500</v>
      </c>
      <c r="B66" t="s">
        <v>45</v>
      </c>
      <c r="C66">
        <v>0</v>
      </c>
      <c r="D66" s="3">
        <v>14.85</v>
      </c>
      <c r="E66" s="3">
        <v>0</v>
      </c>
      <c r="F66">
        <v>3</v>
      </c>
      <c r="G66">
        <v>3</v>
      </c>
      <c r="H66" s="4">
        <v>1.1000000000000001</v>
      </c>
      <c r="I66" t="s">
        <v>33</v>
      </c>
      <c r="J66" t="s">
        <v>33</v>
      </c>
      <c r="L66">
        <f t="shared" ref="L66:L129" si="2">YEAR(A66)</f>
        <v>2019</v>
      </c>
      <c r="M66" t="str">
        <f t="shared" ref="M66:M129" si="3">IF(L66=2019,"Pre-COVID","COVID Period")</f>
        <v>Pre-COVID</v>
      </c>
    </row>
    <row r="67" spans="1:13" x14ac:dyDescent="0.25">
      <c r="A67" s="2">
        <v>43507</v>
      </c>
      <c r="B67" t="s">
        <v>32</v>
      </c>
      <c r="C67">
        <v>26</v>
      </c>
      <c r="D67" s="3">
        <v>7.12</v>
      </c>
      <c r="E67" s="3">
        <v>185.12</v>
      </c>
      <c r="F67">
        <v>41</v>
      </c>
      <c r="G67">
        <v>18</v>
      </c>
      <c r="H67" s="4">
        <v>1.1000000000000001</v>
      </c>
      <c r="I67" t="s">
        <v>33</v>
      </c>
      <c r="J67" t="s">
        <v>33</v>
      </c>
      <c r="L67">
        <f t="shared" si="2"/>
        <v>2019</v>
      </c>
      <c r="M67" t="str">
        <f t="shared" si="3"/>
        <v>Pre-COVID</v>
      </c>
    </row>
    <row r="68" spans="1:13" x14ac:dyDescent="0.25">
      <c r="A68" s="2">
        <v>43507</v>
      </c>
      <c r="B68" t="s">
        <v>34</v>
      </c>
      <c r="C68">
        <v>17</v>
      </c>
      <c r="D68" s="3">
        <v>7.24</v>
      </c>
      <c r="E68" s="3">
        <v>123.08</v>
      </c>
      <c r="F68">
        <v>25</v>
      </c>
      <c r="G68">
        <v>9</v>
      </c>
      <c r="H68" s="4">
        <v>0.9</v>
      </c>
      <c r="I68" t="s">
        <v>33</v>
      </c>
      <c r="J68" t="s">
        <v>33</v>
      </c>
      <c r="L68">
        <f t="shared" si="2"/>
        <v>2019</v>
      </c>
      <c r="M68" t="str">
        <f t="shared" si="3"/>
        <v>Pre-COVID</v>
      </c>
    </row>
    <row r="69" spans="1:13" x14ac:dyDescent="0.25">
      <c r="A69" s="2">
        <v>43507</v>
      </c>
      <c r="B69" t="s">
        <v>35</v>
      </c>
      <c r="C69">
        <v>12</v>
      </c>
      <c r="D69" s="3">
        <v>5.83</v>
      </c>
      <c r="E69" s="3">
        <v>69.959999999999994</v>
      </c>
      <c r="F69">
        <v>14</v>
      </c>
      <c r="G69">
        <v>4</v>
      </c>
      <c r="H69" s="4">
        <v>0.6</v>
      </c>
      <c r="I69" t="s">
        <v>33</v>
      </c>
      <c r="J69" t="s">
        <v>33</v>
      </c>
      <c r="L69">
        <f t="shared" si="2"/>
        <v>2019</v>
      </c>
      <c r="M69" t="str">
        <f t="shared" si="3"/>
        <v>Pre-COVID</v>
      </c>
    </row>
    <row r="70" spans="1:13" x14ac:dyDescent="0.25">
      <c r="A70" s="2">
        <v>43507</v>
      </c>
      <c r="B70" t="s">
        <v>36</v>
      </c>
      <c r="C70">
        <v>11</v>
      </c>
      <c r="D70" s="3">
        <v>6.2</v>
      </c>
      <c r="E70" s="3">
        <v>68.2</v>
      </c>
      <c r="F70">
        <v>15</v>
      </c>
      <c r="G70">
        <v>5</v>
      </c>
      <c r="H70" s="4">
        <v>0.4</v>
      </c>
      <c r="I70" t="s">
        <v>33</v>
      </c>
      <c r="J70" t="s">
        <v>33</v>
      </c>
      <c r="L70">
        <f t="shared" si="2"/>
        <v>2019</v>
      </c>
      <c r="M70" t="str">
        <f t="shared" si="3"/>
        <v>Pre-COVID</v>
      </c>
    </row>
    <row r="71" spans="1:13" x14ac:dyDescent="0.25">
      <c r="A71" s="2">
        <v>43507</v>
      </c>
      <c r="B71" t="s">
        <v>37</v>
      </c>
      <c r="C71">
        <v>32</v>
      </c>
      <c r="D71" s="3">
        <v>3.3</v>
      </c>
      <c r="E71" s="3">
        <v>105.6</v>
      </c>
      <c r="F71">
        <v>40</v>
      </c>
      <c r="G71">
        <v>11</v>
      </c>
      <c r="H71" s="4">
        <v>1.7</v>
      </c>
      <c r="I71" t="s">
        <v>33</v>
      </c>
      <c r="J71" t="s">
        <v>33</v>
      </c>
      <c r="L71">
        <f t="shared" si="2"/>
        <v>2019</v>
      </c>
      <c r="M71" t="str">
        <f t="shared" si="3"/>
        <v>Pre-COVID</v>
      </c>
    </row>
    <row r="72" spans="1:13" x14ac:dyDescent="0.25">
      <c r="A72" s="2">
        <v>43507</v>
      </c>
      <c r="B72" t="s">
        <v>38</v>
      </c>
      <c r="C72">
        <v>17</v>
      </c>
      <c r="D72" s="3">
        <v>8.75</v>
      </c>
      <c r="E72" s="3">
        <v>148.75</v>
      </c>
      <c r="F72">
        <v>19</v>
      </c>
      <c r="G72">
        <v>3</v>
      </c>
      <c r="H72" s="4">
        <v>0.8</v>
      </c>
      <c r="I72" t="s">
        <v>33</v>
      </c>
      <c r="J72" t="s">
        <v>33</v>
      </c>
      <c r="L72">
        <f t="shared" si="2"/>
        <v>2019</v>
      </c>
      <c r="M72" t="str">
        <f t="shared" si="3"/>
        <v>Pre-COVID</v>
      </c>
    </row>
    <row r="73" spans="1:13" x14ac:dyDescent="0.25">
      <c r="A73" s="2">
        <v>43507</v>
      </c>
      <c r="B73" t="s">
        <v>39</v>
      </c>
      <c r="C73">
        <v>22</v>
      </c>
      <c r="D73" s="3">
        <v>11.37</v>
      </c>
      <c r="E73" s="3">
        <v>250.14</v>
      </c>
      <c r="F73">
        <v>30</v>
      </c>
      <c r="G73">
        <v>11</v>
      </c>
      <c r="H73" s="4">
        <v>1.4</v>
      </c>
      <c r="I73" t="s">
        <v>33</v>
      </c>
      <c r="J73" t="s">
        <v>33</v>
      </c>
      <c r="L73">
        <f t="shared" si="2"/>
        <v>2019</v>
      </c>
      <c r="M73" t="str">
        <f t="shared" si="3"/>
        <v>Pre-COVID</v>
      </c>
    </row>
    <row r="74" spans="1:13" x14ac:dyDescent="0.25">
      <c r="A74" s="2">
        <v>43507</v>
      </c>
      <c r="B74" t="s">
        <v>40</v>
      </c>
      <c r="C74">
        <v>9</v>
      </c>
      <c r="D74" s="3">
        <v>0.64</v>
      </c>
      <c r="E74" s="3">
        <v>5.76</v>
      </c>
      <c r="F74">
        <v>11</v>
      </c>
      <c r="G74">
        <v>3</v>
      </c>
      <c r="H74" s="4">
        <v>0.4</v>
      </c>
      <c r="I74" t="s">
        <v>33</v>
      </c>
      <c r="J74" t="s">
        <v>33</v>
      </c>
      <c r="L74">
        <f t="shared" si="2"/>
        <v>2019</v>
      </c>
      <c r="M74" t="str">
        <f t="shared" si="3"/>
        <v>Pre-COVID</v>
      </c>
    </row>
    <row r="75" spans="1:13" x14ac:dyDescent="0.25">
      <c r="A75" s="2">
        <v>43507</v>
      </c>
      <c r="B75" t="s">
        <v>41</v>
      </c>
      <c r="C75">
        <v>11</v>
      </c>
      <c r="D75" s="3">
        <v>1.4</v>
      </c>
      <c r="E75" s="3">
        <v>15.4</v>
      </c>
      <c r="F75">
        <v>12</v>
      </c>
      <c r="G75">
        <v>3</v>
      </c>
      <c r="H75" s="4">
        <v>0.9</v>
      </c>
      <c r="I75" t="s">
        <v>33</v>
      </c>
      <c r="J75" t="s">
        <v>33</v>
      </c>
      <c r="L75">
        <f t="shared" si="2"/>
        <v>2019</v>
      </c>
      <c r="M75" t="str">
        <f t="shared" si="3"/>
        <v>Pre-COVID</v>
      </c>
    </row>
    <row r="76" spans="1:13" x14ac:dyDescent="0.25">
      <c r="A76" s="2">
        <v>43507</v>
      </c>
      <c r="B76" t="s">
        <v>42</v>
      </c>
      <c r="C76">
        <v>12</v>
      </c>
      <c r="D76" s="3">
        <v>4.2</v>
      </c>
      <c r="E76" s="3">
        <v>50.4</v>
      </c>
      <c r="F76">
        <v>17</v>
      </c>
      <c r="G76">
        <v>5</v>
      </c>
      <c r="H76" s="4">
        <v>0.8</v>
      </c>
      <c r="I76" t="s">
        <v>33</v>
      </c>
      <c r="J76" t="s">
        <v>33</v>
      </c>
      <c r="L76">
        <f t="shared" si="2"/>
        <v>2019</v>
      </c>
      <c r="M76" t="str">
        <f t="shared" si="3"/>
        <v>Pre-COVID</v>
      </c>
    </row>
    <row r="77" spans="1:13" x14ac:dyDescent="0.25">
      <c r="A77" s="2">
        <v>43507</v>
      </c>
      <c r="B77" t="s">
        <v>43</v>
      </c>
      <c r="C77">
        <v>5</v>
      </c>
      <c r="D77" s="3">
        <v>5.37</v>
      </c>
      <c r="E77" s="3">
        <v>26.85</v>
      </c>
      <c r="F77">
        <v>6</v>
      </c>
      <c r="G77">
        <v>2</v>
      </c>
      <c r="H77" s="4">
        <v>0.4</v>
      </c>
      <c r="I77" t="s">
        <v>33</v>
      </c>
      <c r="J77" t="s">
        <v>46</v>
      </c>
      <c r="L77">
        <f t="shared" si="2"/>
        <v>2019</v>
      </c>
      <c r="M77" t="str">
        <f t="shared" si="3"/>
        <v>Pre-COVID</v>
      </c>
    </row>
    <row r="78" spans="1:13" x14ac:dyDescent="0.25">
      <c r="A78" s="2">
        <v>43507</v>
      </c>
      <c r="B78" t="s">
        <v>44</v>
      </c>
      <c r="C78">
        <v>0</v>
      </c>
      <c r="D78" s="3">
        <v>4.84</v>
      </c>
      <c r="E78" s="3">
        <v>0</v>
      </c>
      <c r="F78">
        <v>3</v>
      </c>
      <c r="G78">
        <v>3</v>
      </c>
      <c r="H78" s="4">
        <v>1.2</v>
      </c>
      <c r="I78" t="s">
        <v>33</v>
      </c>
      <c r="J78" t="s">
        <v>33</v>
      </c>
      <c r="L78">
        <f t="shared" si="2"/>
        <v>2019</v>
      </c>
      <c r="M78" t="str">
        <f t="shared" si="3"/>
        <v>Pre-COVID</v>
      </c>
    </row>
    <row r="79" spans="1:13" x14ac:dyDescent="0.25">
      <c r="A79" s="2">
        <v>43507</v>
      </c>
      <c r="B79" t="s">
        <v>45</v>
      </c>
      <c r="C79">
        <v>0</v>
      </c>
      <c r="D79" s="3">
        <v>15.74</v>
      </c>
      <c r="E79" s="3">
        <v>0</v>
      </c>
      <c r="F79">
        <v>3</v>
      </c>
      <c r="G79">
        <v>3</v>
      </c>
      <c r="H79" s="4">
        <v>0.4</v>
      </c>
      <c r="I79" t="s">
        <v>33</v>
      </c>
      <c r="J79" t="s">
        <v>33</v>
      </c>
      <c r="L79">
        <f t="shared" si="2"/>
        <v>2019</v>
      </c>
      <c r="M79" t="str">
        <f t="shared" si="3"/>
        <v>Pre-COVID</v>
      </c>
    </row>
    <row r="80" spans="1:13" x14ac:dyDescent="0.25">
      <c r="A80" s="2">
        <v>43514</v>
      </c>
      <c r="B80" t="s">
        <v>32</v>
      </c>
      <c r="C80">
        <v>21</v>
      </c>
      <c r="D80" s="3">
        <v>7.1</v>
      </c>
      <c r="E80" s="3">
        <v>149.1</v>
      </c>
      <c r="F80">
        <v>29</v>
      </c>
      <c r="G80">
        <v>12</v>
      </c>
      <c r="H80" s="4">
        <v>1</v>
      </c>
      <c r="I80" t="s">
        <v>33</v>
      </c>
      <c r="J80" t="s">
        <v>33</v>
      </c>
      <c r="L80">
        <f t="shared" si="2"/>
        <v>2019</v>
      </c>
      <c r="M80" t="str">
        <f t="shared" si="3"/>
        <v>Pre-COVID</v>
      </c>
    </row>
    <row r="81" spans="1:13" x14ac:dyDescent="0.25">
      <c r="A81" s="2">
        <v>43514</v>
      </c>
      <c r="B81" t="s">
        <v>34</v>
      </c>
      <c r="C81">
        <v>22</v>
      </c>
      <c r="D81" s="3">
        <v>7</v>
      </c>
      <c r="E81" s="3">
        <v>154</v>
      </c>
      <c r="F81">
        <v>26</v>
      </c>
      <c r="G81">
        <v>6</v>
      </c>
      <c r="H81" s="4">
        <v>1.3</v>
      </c>
      <c r="I81" t="s">
        <v>33</v>
      </c>
      <c r="J81" t="s">
        <v>33</v>
      </c>
      <c r="L81">
        <f t="shared" si="2"/>
        <v>2019</v>
      </c>
      <c r="M81" t="str">
        <f t="shared" si="3"/>
        <v>Pre-COVID</v>
      </c>
    </row>
    <row r="82" spans="1:13" x14ac:dyDescent="0.25">
      <c r="A82" s="2">
        <v>43514</v>
      </c>
      <c r="B82" t="s">
        <v>35</v>
      </c>
      <c r="C82">
        <v>11</v>
      </c>
      <c r="D82" s="3">
        <v>6.03</v>
      </c>
      <c r="E82" s="3">
        <v>66.33</v>
      </c>
      <c r="F82">
        <v>18</v>
      </c>
      <c r="G82">
        <v>9</v>
      </c>
      <c r="H82" s="4">
        <v>0.4</v>
      </c>
      <c r="I82" t="s">
        <v>33</v>
      </c>
      <c r="J82" t="s">
        <v>33</v>
      </c>
      <c r="L82">
        <f t="shared" si="2"/>
        <v>2019</v>
      </c>
      <c r="M82" t="str">
        <f t="shared" si="3"/>
        <v>Pre-COVID</v>
      </c>
    </row>
    <row r="83" spans="1:13" x14ac:dyDescent="0.25">
      <c r="A83" s="2">
        <v>43514</v>
      </c>
      <c r="B83" t="s">
        <v>36</v>
      </c>
      <c r="C83">
        <v>15</v>
      </c>
      <c r="D83" s="3">
        <v>6.49</v>
      </c>
      <c r="E83" s="3">
        <v>97.35</v>
      </c>
      <c r="F83">
        <v>19</v>
      </c>
      <c r="G83">
        <v>7</v>
      </c>
      <c r="H83" s="4">
        <v>0</v>
      </c>
      <c r="I83" t="s">
        <v>33</v>
      </c>
      <c r="J83" t="s">
        <v>33</v>
      </c>
      <c r="L83">
        <f t="shared" si="2"/>
        <v>2019</v>
      </c>
      <c r="M83" t="str">
        <f t="shared" si="3"/>
        <v>Pre-COVID</v>
      </c>
    </row>
    <row r="84" spans="1:13" x14ac:dyDescent="0.25">
      <c r="A84" s="2">
        <v>43514</v>
      </c>
      <c r="B84" t="s">
        <v>37</v>
      </c>
      <c r="C84">
        <v>32</v>
      </c>
      <c r="D84" s="3">
        <v>3.31</v>
      </c>
      <c r="E84" s="3">
        <v>105.92</v>
      </c>
      <c r="F84">
        <v>51</v>
      </c>
      <c r="G84">
        <v>27</v>
      </c>
      <c r="H84" s="4">
        <v>0.7</v>
      </c>
      <c r="I84" t="s">
        <v>33</v>
      </c>
      <c r="J84" t="s">
        <v>33</v>
      </c>
      <c r="L84">
        <f t="shared" si="2"/>
        <v>2019</v>
      </c>
      <c r="M84" t="str">
        <f t="shared" si="3"/>
        <v>Pre-COVID</v>
      </c>
    </row>
    <row r="85" spans="1:13" x14ac:dyDescent="0.25">
      <c r="A85" s="2">
        <v>43514</v>
      </c>
      <c r="B85" t="s">
        <v>38</v>
      </c>
      <c r="C85">
        <v>13</v>
      </c>
      <c r="D85" s="3">
        <v>8.7899999999999991</v>
      </c>
      <c r="E85" s="3">
        <v>114.27</v>
      </c>
      <c r="F85">
        <v>17</v>
      </c>
      <c r="G85">
        <v>6</v>
      </c>
      <c r="H85" s="4">
        <v>1.5</v>
      </c>
      <c r="I85" t="s">
        <v>33</v>
      </c>
      <c r="J85" t="s">
        <v>33</v>
      </c>
      <c r="L85">
        <f t="shared" si="2"/>
        <v>2019</v>
      </c>
      <c r="M85" t="str">
        <f t="shared" si="3"/>
        <v>Pre-COVID</v>
      </c>
    </row>
    <row r="86" spans="1:13" x14ac:dyDescent="0.25">
      <c r="A86" s="2">
        <v>43514</v>
      </c>
      <c r="B86" t="s">
        <v>39</v>
      </c>
      <c r="C86">
        <v>17</v>
      </c>
      <c r="D86" s="3">
        <v>11.58</v>
      </c>
      <c r="E86" s="3">
        <v>196.86</v>
      </c>
      <c r="F86">
        <v>20</v>
      </c>
      <c r="G86">
        <v>5</v>
      </c>
      <c r="H86" s="4">
        <v>1.6</v>
      </c>
      <c r="I86" t="s">
        <v>33</v>
      </c>
      <c r="J86" t="s">
        <v>33</v>
      </c>
      <c r="L86">
        <f t="shared" si="2"/>
        <v>2019</v>
      </c>
      <c r="M86" t="str">
        <f t="shared" si="3"/>
        <v>Pre-COVID</v>
      </c>
    </row>
    <row r="87" spans="1:13" x14ac:dyDescent="0.25">
      <c r="A87" s="2">
        <v>43514</v>
      </c>
      <c r="B87" t="s">
        <v>40</v>
      </c>
      <c r="C87">
        <v>9</v>
      </c>
      <c r="D87" s="3">
        <v>0.64</v>
      </c>
      <c r="E87" s="3">
        <v>5.76</v>
      </c>
      <c r="F87">
        <v>12</v>
      </c>
      <c r="G87">
        <v>3</v>
      </c>
      <c r="H87" s="4">
        <v>0.5</v>
      </c>
      <c r="I87" t="s">
        <v>33</v>
      </c>
      <c r="J87" t="s">
        <v>33</v>
      </c>
      <c r="L87">
        <f t="shared" si="2"/>
        <v>2019</v>
      </c>
      <c r="M87" t="str">
        <f t="shared" si="3"/>
        <v>Pre-COVID</v>
      </c>
    </row>
    <row r="88" spans="1:13" x14ac:dyDescent="0.25">
      <c r="A88" s="2">
        <v>43514</v>
      </c>
      <c r="B88" t="s">
        <v>41</v>
      </c>
      <c r="C88">
        <v>6</v>
      </c>
      <c r="D88" s="3">
        <v>1.35</v>
      </c>
      <c r="E88" s="3">
        <v>8.1</v>
      </c>
      <c r="F88">
        <v>7</v>
      </c>
      <c r="G88">
        <v>1</v>
      </c>
      <c r="H88" s="4">
        <v>1</v>
      </c>
      <c r="I88" t="s">
        <v>33</v>
      </c>
      <c r="J88" t="s">
        <v>46</v>
      </c>
      <c r="L88">
        <f t="shared" si="2"/>
        <v>2019</v>
      </c>
      <c r="M88" t="str">
        <f t="shared" si="3"/>
        <v>Pre-COVID</v>
      </c>
    </row>
    <row r="89" spans="1:13" x14ac:dyDescent="0.25">
      <c r="A89" s="2">
        <v>43514</v>
      </c>
      <c r="B89" t="s">
        <v>42</v>
      </c>
      <c r="C89">
        <v>8</v>
      </c>
      <c r="D89" s="3">
        <v>4.04</v>
      </c>
      <c r="E89" s="3">
        <v>32.32</v>
      </c>
      <c r="F89">
        <v>11</v>
      </c>
      <c r="G89">
        <v>5</v>
      </c>
      <c r="H89" s="4">
        <v>0.7</v>
      </c>
      <c r="I89" t="s">
        <v>33</v>
      </c>
      <c r="J89" t="s">
        <v>33</v>
      </c>
      <c r="L89">
        <f t="shared" si="2"/>
        <v>2019</v>
      </c>
      <c r="M89" t="str">
        <f t="shared" si="3"/>
        <v>Pre-COVID</v>
      </c>
    </row>
    <row r="90" spans="1:13" x14ac:dyDescent="0.25">
      <c r="A90" s="2">
        <v>43514</v>
      </c>
      <c r="B90" t="s">
        <v>43</v>
      </c>
      <c r="C90">
        <v>7</v>
      </c>
      <c r="D90" s="3">
        <v>5.69</v>
      </c>
      <c r="E90" s="3">
        <v>39.83</v>
      </c>
      <c r="F90">
        <v>8</v>
      </c>
      <c r="G90">
        <v>1</v>
      </c>
      <c r="H90" s="4">
        <v>1</v>
      </c>
      <c r="I90" t="s">
        <v>33</v>
      </c>
      <c r="J90" t="s">
        <v>46</v>
      </c>
      <c r="L90">
        <f t="shared" si="2"/>
        <v>2019</v>
      </c>
      <c r="M90" t="str">
        <f t="shared" si="3"/>
        <v>Pre-COVID</v>
      </c>
    </row>
    <row r="91" spans="1:13" x14ac:dyDescent="0.25">
      <c r="A91" s="2">
        <v>43514</v>
      </c>
      <c r="B91" t="s">
        <v>44</v>
      </c>
      <c r="C91">
        <v>0</v>
      </c>
      <c r="D91" s="3">
        <v>4.79</v>
      </c>
      <c r="E91" s="3">
        <v>0</v>
      </c>
      <c r="F91">
        <v>3</v>
      </c>
      <c r="G91">
        <v>4</v>
      </c>
      <c r="H91" s="4">
        <v>0</v>
      </c>
      <c r="I91" t="s">
        <v>33</v>
      </c>
      <c r="J91" t="s">
        <v>33</v>
      </c>
      <c r="L91">
        <f t="shared" si="2"/>
        <v>2019</v>
      </c>
      <c r="M91" t="str">
        <f t="shared" si="3"/>
        <v>Pre-COVID</v>
      </c>
    </row>
    <row r="92" spans="1:13" x14ac:dyDescent="0.25">
      <c r="A92" s="2">
        <v>43514</v>
      </c>
      <c r="B92" t="s">
        <v>45</v>
      </c>
      <c r="C92">
        <v>0</v>
      </c>
      <c r="D92" s="3">
        <v>15.49</v>
      </c>
      <c r="E92" s="3">
        <v>0</v>
      </c>
      <c r="F92">
        <v>3</v>
      </c>
      <c r="G92">
        <v>3</v>
      </c>
      <c r="H92" s="4">
        <v>1.7</v>
      </c>
      <c r="I92" t="s">
        <v>33</v>
      </c>
      <c r="J92" t="s">
        <v>33</v>
      </c>
      <c r="L92">
        <f t="shared" si="2"/>
        <v>2019</v>
      </c>
      <c r="M92" t="str">
        <f t="shared" si="3"/>
        <v>Pre-COVID</v>
      </c>
    </row>
    <row r="93" spans="1:13" x14ac:dyDescent="0.25">
      <c r="A93" s="2">
        <v>43521</v>
      </c>
      <c r="B93" t="s">
        <v>32</v>
      </c>
      <c r="C93">
        <v>18</v>
      </c>
      <c r="D93" s="3">
        <v>6.98</v>
      </c>
      <c r="E93" s="3">
        <v>125.64</v>
      </c>
      <c r="F93">
        <v>25</v>
      </c>
      <c r="G93">
        <v>11</v>
      </c>
      <c r="H93" s="4">
        <v>1.8</v>
      </c>
      <c r="I93" t="s">
        <v>33</v>
      </c>
      <c r="J93" t="s">
        <v>33</v>
      </c>
      <c r="L93">
        <f t="shared" si="2"/>
        <v>2019</v>
      </c>
      <c r="M93" t="str">
        <f t="shared" si="3"/>
        <v>Pre-COVID</v>
      </c>
    </row>
    <row r="94" spans="1:13" x14ac:dyDescent="0.25">
      <c r="A94" s="2">
        <v>43521</v>
      </c>
      <c r="B94" t="s">
        <v>34</v>
      </c>
      <c r="C94">
        <v>16</v>
      </c>
      <c r="D94" s="3">
        <v>7.04</v>
      </c>
      <c r="E94" s="3">
        <v>112.64</v>
      </c>
      <c r="F94">
        <v>20</v>
      </c>
      <c r="G94">
        <v>7</v>
      </c>
      <c r="H94" s="4">
        <v>0</v>
      </c>
      <c r="I94" t="s">
        <v>33</v>
      </c>
      <c r="J94" t="s">
        <v>33</v>
      </c>
      <c r="L94">
        <f t="shared" si="2"/>
        <v>2019</v>
      </c>
      <c r="M94" t="str">
        <f t="shared" si="3"/>
        <v>Pre-COVID</v>
      </c>
    </row>
    <row r="95" spans="1:13" x14ac:dyDescent="0.25">
      <c r="A95" s="2">
        <v>43521</v>
      </c>
      <c r="B95" t="s">
        <v>35</v>
      </c>
      <c r="C95">
        <v>11</v>
      </c>
      <c r="D95" s="3">
        <v>6.09</v>
      </c>
      <c r="E95" s="3">
        <v>66.989999999999995</v>
      </c>
      <c r="F95">
        <v>14</v>
      </c>
      <c r="G95">
        <v>4</v>
      </c>
      <c r="H95" s="4">
        <v>1</v>
      </c>
      <c r="I95" t="s">
        <v>33</v>
      </c>
      <c r="J95" t="s">
        <v>33</v>
      </c>
      <c r="L95">
        <f t="shared" si="2"/>
        <v>2019</v>
      </c>
      <c r="M95" t="str">
        <f t="shared" si="3"/>
        <v>Pre-COVID</v>
      </c>
    </row>
    <row r="96" spans="1:13" x14ac:dyDescent="0.25">
      <c r="A96" s="2">
        <v>43521</v>
      </c>
      <c r="B96" t="s">
        <v>36</v>
      </c>
      <c r="C96">
        <v>12</v>
      </c>
      <c r="D96" s="3">
        <v>6.42</v>
      </c>
      <c r="E96" s="3">
        <v>77.040000000000006</v>
      </c>
      <c r="F96">
        <v>17</v>
      </c>
      <c r="G96">
        <v>5</v>
      </c>
      <c r="H96" s="4">
        <v>0.7</v>
      </c>
      <c r="I96" t="s">
        <v>33</v>
      </c>
      <c r="J96" t="s">
        <v>33</v>
      </c>
      <c r="L96">
        <f t="shared" si="2"/>
        <v>2019</v>
      </c>
      <c r="M96" t="str">
        <f t="shared" si="3"/>
        <v>Pre-COVID</v>
      </c>
    </row>
    <row r="97" spans="1:13" x14ac:dyDescent="0.25">
      <c r="A97" s="2">
        <v>43521</v>
      </c>
      <c r="B97" t="s">
        <v>37</v>
      </c>
      <c r="C97">
        <v>37</v>
      </c>
      <c r="D97" s="3">
        <v>3.2</v>
      </c>
      <c r="E97" s="3">
        <v>118.4</v>
      </c>
      <c r="F97">
        <v>56</v>
      </c>
      <c r="G97">
        <v>27</v>
      </c>
      <c r="H97" s="4">
        <v>1</v>
      </c>
      <c r="I97" t="s">
        <v>33</v>
      </c>
      <c r="J97" t="s">
        <v>33</v>
      </c>
      <c r="L97">
        <f t="shared" si="2"/>
        <v>2019</v>
      </c>
      <c r="M97" t="str">
        <f t="shared" si="3"/>
        <v>Pre-COVID</v>
      </c>
    </row>
    <row r="98" spans="1:13" x14ac:dyDescent="0.25">
      <c r="A98" s="2">
        <v>43521</v>
      </c>
      <c r="B98" t="s">
        <v>38</v>
      </c>
      <c r="C98">
        <v>16</v>
      </c>
      <c r="D98" s="3">
        <v>8.5500000000000007</v>
      </c>
      <c r="E98" s="3">
        <v>136.80000000000001</v>
      </c>
      <c r="F98">
        <v>17</v>
      </c>
      <c r="G98">
        <v>2</v>
      </c>
      <c r="H98" s="4">
        <v>0</v>
      </c>
      <c r="I98" t="s">
        <v>33</v>
      </c>
      <c r="J98" t="s">
        <v>33</v>
      </c>
      <c r="L98">
        <f t="shared" si="2"/>
        <v>2019</v>
      </c>
      <c r="M98" t="str">
        <f t="shared" si="3"/>
        <v>Pre-COVID</v>
      </c>
    </row>
    <row r="99" spans="1:13" x14ac:dyDescent="0.25">
      <c r="A99" s="2">
        <v>43521</v>
      </c>
      <c r="B99" t="s">
        <v>39</v>
      </c>
      <c r="C99">
        <v>30</v>
      </c>
      <c r="D99" s="3">
        <v>11.06</v>
      </c>
      <c r="E99" s="3">
        <v>331.8</v>
      </c>
      <c r="F99">
        <v>37</v>
      </c>
      <c r="G99">
        <v>9</v>
      </c>
      <c r="H99" s="4">
        <v>0.9</v>
      </c>
      <c r="I99" t="s">
        <v>33</v>
      </c>
      <c r="J99" t="s">
        <v>33</v>
      </c>
      <c r="L99">
        <f t="shared" si="2"/>
        <v>2019</v>
      </c>
      <c r="M99" t="str">
        <f t="shared" si="3"/>
        <v>Pre-COVID</v>
      </c>
    </row>
    <row r="100" spans="1:13" x14ac:dyDescent="0.25">
      <c r="A100" s="2">
        <v>43521</v>
      </c>
      <c r="B100" t="s">
        <v>40</v>
      </c>
      <c r="C100">
        <v>10</v>
      </c>
      <c r="D100" s="3">
        <v>0.66</v>
      </c>
      <c r="E100" s="3">
        <v>6.6</v>
      </c>
      <c r="F100">
        <v>15</v>
      </c>
      <c r="G100">
        <v>6</v>
      </c>
      <c r="H100" s="4">
        <v>1.5</v>
      </c>
      <c r="I100" t="s">
        <v>33</v>
      </c>
      <c r="J100" t="s">
        <v>33</v>
      </c>
      <c r="L100">
        <f t="shared" si="2"/>
        <v>2019</v>
      </c>
      <c r="M100" t="str">
        <f t="shared" si="3"/>
        <v>Pre-COVID</v>
      </c>
    </row>
    <row r="101" spans="1:13" x14ac:dyDescent="0.25">
      <c r="A101" s="2">
        <v>43521</v>
      </c>
      <c r="B101" t="s">
        <v>41</v>
      </c>
      <c r="C101">
        <v>8</v>
      </c>
      <c r="D101" s="3">
        <v>1.36</v>
      </c>
      <c r="E101" s="3">
        <v>10.88</v>
      </c>
      <c r="F101">
        <v>11</v>
      </c>
      <c r="G101">
        <v>4</v>
      </c>
      <c r="H101" s="4">
        <v>0.3</v>
      </c>
      <c r="I101" t="s">
        <v>33</v>
      </c>
      <c r="J101" t="s">
        <v>33</v>
      </c>
      <c r="L101">
        <f t="shared" si="2"/>
        <v>2019</v>
      </c>
      <c r="M101" t="str">
        <f t="shared" si="3"/>
        <v>Pre-COVID</v>
      </c>
    </row>
    <row r="102" spans="1:13" x14ac:dyDescent="0.25">
      <c r="A102" s="2">
        <v>43521</v>
      </c>
      <c r="B102" t="s">
        <v>42</v>
      </c>
      <c r="C102">
        <v>11</v>
      </c>
      <c r="D102" s="3">
        <v>4.12</v>
      </c>
      <c r="E102" s="3">
        <v>45.32</v>
      </c>
      <c r="F102">
        <v>15</v>
      </c>
      <c r="G102">
        <v>6</v>
      </c>
      <c r="H102" s="4">
        <v>1.1000000000000001</v>
      </c>
      <c r="I102" t="s">
        <v>33</v>
      </c>
      <c r="J102" t="s">
        <v>33</v>
      </c>
      <c r="L102">
        <f t="shared" si="2"/>
        <v>2019</v>
      </c>
      <c r="M102" t="str">
        <f t="shared" si="3"/>
        <v>Pre-COVID</v>
      </c>
    </row>
    <row r="103" spans="1:13" x14ac:dyDescent="0.25">
      <c r="A103" s="2">
        <v>43521</v>
      </c>
      <c r="B103" t="s">
        <v>43</v>
      </c>
      <c r="C103">
        <v>2</v>
      </c>
      <c r="D103" s="3">
        <v>5.7</v>
      </c>
      <c r="E103" s="3">
        <v>11.4</v>
      </c>
      <c r="F103">
        <v>3</v>
      </c>
      <c r="G103">
        <v>1</v>
      </c>
      <c r="H103" s="4">
        <v>2</v>
      </c>
      <c r="I103" t="s">
        <v>33</v>
      </c>
      <c r="J103" t="s">
        <v>33</v>
      </c>
      <c r="L103">
        <f t="shared" si="2"/>
        <v>2019</v>
      </c>
      <c r="M103" t="str">
        <f t="shared" si="3"/>
        <v>Pre-COVID</v>
      </c>
    </row>
    <row r="104" spans="1:13" x14ac:dyDescent="0.25">
      <c r="A104" s="2">
        <v>43521</v>
      </c>
      <c r="B104" t="s">
        <v>44</v>
      </c>
      <c r="C104">
        <v>1</v>
      </c>
      <c r="D104" s="3">
        <v>4.66</v>
      </c>
      <c r="E104" s="3">
        <v>4.66</v>
      </c>
      <c r="F104">
        <v>3</v>
      </c>
      <c r="G104">
        <v>2</v>
      </c>
      <c r="H104" s="4">
        <v>0.6</v>
      </c>
      <c r="I104" t="s">
        <v>46</v>
      </c>
      <c r="J104" t="s">
        <v>33</v>
      </c>
      <c r="K104" t="s">
        <v>47</v>
      </c>
      <c r="L104">
        <f t="shared" si="2"/>
        <v>2019</v>
      </c>
      <c r="M104" t="str">
        <f t="shared" si="3"/>
        <v>Pre-COVID</v>
      </c>
    </row>
    <row r="105" spans="1:13" x14ac:dyDescent="0.25">
      <c r="A105" s="2">
        <v>43521</v>
      </c>
      <c r="B105" t="s">
        <v>45</v>
      </c>
      <c r="C105">
        <v>0</v>
      </c>
      <c r="D105" s="3">
        <v>15.16</v>
      </c>
      <c r="E105" s="3">
        <v>0</v>
      </c>
      <c r="F105">
        <v>3</v>
      </c>
      <c r="G105">
        <v>3</v>
      </c>
      <c r="H105" s="4">
        <v>0.7</v>
      </c>
      <c r="I105" t="s">
        <v>33</v>
      </c>
      <c r="J105" t="s">
        <v>33</v>
      </c>
      <c r="L105">
        <f t="shared" si="2"/>
        <v>2019</v>
      </c>
      <c r="M105" t="str">
        <f t="shared" si="3"/>
        <v>Pre-COVID</v>
      </c>
    </row>
    <row r="106" spans="1:13" x14ac:dyDescent="0.25">
      <c r="A106" s="2">
        <v>43528</v>
      </c>
      <c r="B106" t="s">
        <v>32</v>
      </c>
      <c r="C106">
        <v>29</v>
      </c>
      <c r="D106" s="3">
        <v>7.09</v>
      </c>
      <c r="E106" s="3">
        <v>205.61</v>
      </c>
      <c r="F106">
        <v>42</v>
      </c>
      <c r="G106">
        <v>17</v>
      </c>
      <c r="H106" s="4">
        <v>0.8</v>
      </c>
      <c r="I106" t="s">
        <v>33</v>
      </c>
      <c r="J106" t="s">
        <v>33</v>
      </c>
      <c r="L106">
        <f t="shared" si="2"/>
        <v>2019</v>
      </c>
      <c r="M106" t="str">
        <f t="shared" si="3"/>
        <v>Pre-COVID</v>
      </c>
    </row>
    <row r="107" spans="1:13" x14ac:dyDescent="0.25">
      <c r="A107" s="2">
        <v>43528</v>
      </c>
      <c r="B107" t="s">
        <v>34</v>
      </c>
      <c r="C107">
        <v>18</v>
      </c>
      <c r="D107" s="3">
        <v>7.11</v>
      </c>
      <c r="E107" s="3">
        <v>127.98</v>
      </c>
      <c r="F107">
        <v>29</v>
      </c>
      <c r="G107">
        <v>12</v>
      </c>
      <c r="H107" s="4">
        <v>1</v>
      </c>
      <c r="I107" t="s">
        <v>33</v>
      </c>
      <c r="J107" t="s">
        <v>33</v>
      </c>
      <c r="L107">
        <f t="shared" si="2"/>
        <v>2019</v>
      </c>
      <c r="M107" t="str">
        <f t="shared" si="3"/>
        <v>Pre-COVID</v>
      </c>
    </row>
    <row r="108" spans="1:13" x14ac:dyDescent="0.25">
      <c r="A108" s="2">
        <v>43528</v>
      </c>
      <c r="B108" t="s">
        <v>35</v>
      </c>
      <c r="C108">
        <v>11</v>
      </c>
      <c r="D108" s="3">
        <v>5.71</v>
      </c>
      <c r="E108" s="3">
        <v>62.81</v>
      </c>
      <c r="F108">
        <v>13</v>
      </c>
      <c r="G108">
        <v>3</v>
      </c>
      <c r="H108" s="4">
        <v>0.4</v>
      </c>
      <c r="I108" t="s">
        <v>33</v>
      </c>
      <c r="J108" t="s">
        <v>33</v>
      </c>
      <c r="L108">
        <f t="shared" si="2"/>
        <v>2019</v>
      </c>
      <c r="M108" t="str">
        <f t="shared" si="3"/>
        <v>Pre-COVID</v>
      </c>
    </row>
    <row r="109" spans="1:13" x14ac:dyDescent="0.25">
      <c r="A109" s="2">
        <v>43528</v>
      </c>
      <c r="B109" t="s">
        <v>36</v>
      </c>
      <c r="C109">
        <v>14</v>
      </c>
      <c r="D109" s="3">
        <v>6.41</v>
      </c>
      <c r="E109" s="3">
        <v>89.74</v>
      </c>
      <c r="F109">
        <v>17</v>
      </c>
      <c r="G109">
        <v>5</v>
      </c>
      <c r="H109" s="4">
        <v>0.9</v>
      </c>
      <c r="I109" t="s">
        <v>33</v>
      </c>
      <c r="J109" t="s">
        <v>33</v>
      </c>
      <c r="L109">
        <f t="shared" si="2"/>
        <v>2019</v>
      </c>
      <c r="M109" t="str">
        <f t="shared" si="3"/>
        <v>Pre-COVID</v>
      </c>
    </row>
    <row r="110" spans="1:13" x14ac:dyDescent="0.25">
      <c r="A110" s="2">
        <v>43528</v>
      </c>
      <c r="B110" t="s">
        <v>37</v>
      </c>
      <c r="C110">
        <v>25</v>
      </c>
      <c r="D110" s="3">
        <v>3.2</v>
      </c>
      <c r="E110" s="3">
        <v>80</v>
      </c>
      <c r="F110">
        <v>26</v>
      </c>
      <c r="G110">
        <v>1</v>
      </c>
      <c r="H110" s="4">
        <v>0.8</v>
      </c>
      <c r="I110" t="s">
        <v>33</v>
      </c>
      <c r="J110" t="s">
        <v>33</v>
      </c>
      <c r="L110">
        <f t="shared" si="2"/>
        <v>2019</v>
      </c>
      <c r="M110" t="str">
        <f t="shared" si="3"/>
        <v>Pre-COVID</v>
      </c>
    </row>
    <row r="111" spans="1:13" x14ac:dyDescent="0.25">
      <c r="A111" s="2">
        <v>43528</v>
      </c>
      <c r="B111" t="s">
        <v>38</v>
      </c>
      <c r="C111">
        <v>18</v>
      </c>
      <c r="D111" s="3">
        <v>8.9</v>
      </c>
      <c r="E111" s="3">
        <v>160.19999999999999</v>
      </c>
      <c r="F111">
        <v>26</v>
      </c>
      <c r="G111">
        <v>9</v>
      </c>
      <c r="H111" s="4">
        <v>0.1</v>
      </c>
      <c r="I111" t="s">
        <v>33</v>
      </c>
      <c r="J111" t="s">
        <v>33</v>
      </c>
      <c r="L111">
        <f t="shared" si="2"/>
        <v>2019</v>
      </c>
      <c r="M111" t="str">
        <f t="shared" si="3"/>
        <v>Pre-COVID</v>
      </c>
    </row>
    <row r="112" spans="1:13" x14ac:dyDescent="0.25">
      <c r="A112" s="2">
        <v>43528</v>
      </c>
      <c r="B112" t="s">
        <v>39</v>
      </c>
      <c r="C112">
        <v>19</v>
      </c>
      <c r="D112" s="3">
        <v>11.33</v>
      </c>
      <c r="E112" s="3">
        <v>215.27</v>
      </c>
      <c r="F112">
        <v>24</v>
      </c>
      <c r="G112">
        <v>8</v>
      </c>
      <c r="H112" s="4">
        <v>0.4</v>
      </c>
      <c r="I112" t="s">
        <v>33</v>
      </c>
      <c r="J112" t="s">
        <v>33</v>
      </c>
      <c r="L112">
        <f t="shared" si="2"/>
        <v>2019</v>
      </c>
      <c r="M112" t="str">
        <f t="shared" si="3"/>
        <v>Pre-COVID</v>
      </c>
    </row>
    <row r="113" spans="1:13" x14ac:dyDescent="0.25">
      <c r="A113" s="2">
        <v>43528</v>
      </c>
      <c r="B113" t="s">
        <v>40</v>
      </c>
      <c r="C113">
        <v>10</v>
      </c>
      <c r="D113" s="3">
        <v>0.68</v>
      </c>
      <c r="E113" s="3">
        <v>6.8</v>
      </c>
      <c r="F113">
        <v>16</v>
      </c>
      <c r="G113">
        <v>7</v>
      </c>
      <c r="H113" s="4">
        <v>0.4</v>
      </c>
      <c r="I113" t="s">
        <v>33</v>
      </c>
      <c r="J113" t="s">
        <v>33</v>
      </c>
      <c r="L113">
        <f t="shared" si="2"/>
        <v>2019</v>
      </c>
      <c r="M113" t="str">
        <f t="shared" si="3"/>
        <v>Pre-COVID</v>
      </c>
    </row>
    <row r="114" spans="1:13" x14ac:dyDescent="0.25">
      <c r="A114" s="2">
        <v>43528</v>
      </c>
      <c r="B114" t="s">
        <v>41</v>
      </c>
      <c r="C114">
        <v>7</v>
      </c>
      <c r="D114" s="3">
        <v>1.33</v>
      </c>
      <c r="E114" s="3">
        <v>9.31</v>
      </c>
      <c r="F114">
        <v>9</v>
      </c>
      <c r="G114">
        <v>2</v>
      </c>
      <c r="H114" s="4">
        <v>1.3</v>
      </c>
      <c r="I114" t="s">
        <v>33</v>
      </c>
      <c r="J114" t="s">
        <v>33</v>
      </c>
      <c r="L114">
        <f t="shared" si="2"/>
        <v>2019</v>
      </c>
      <c r="M114" t="str">
        <f t="shared" si="3"/>
        <v>Pre-COVID</v>
      </c>
    </row>
    <row r="115" spans="1:13" x14ac:dyDescent="0.25">
      <c r="A115" s="2">
        <v>43528</v>
      </c>
      <c r="B115" t="s">
        <v>42</v>
      </c>
      <c r="C115">
        <v>8</v>
      </c>
      <c r="D115" s="3">
        <v>4.18</v>
      </c>
      <c r="E115" s="3">
        <v>33.44</v>
      </c>
      <c r="F115">
        <v>10</v>
      </c>
      <c r="G115">
        <v>4</v>
      </c>
      <c r="H115" s="4">
        <v>0.2</v>
      </c>
      <c r="I115" t="s">
        <v>33</v>
      </c>
      <c r="J115" t="s">
        <v>33</v>
      </c>
      <c r="L115">
        <f t="shared" si="2"/>
        <v>2019</v>
      </c>
      <c r="M115" t="str">
        <f t="shared" si="3"/>
        <v>Pre-COVID</v>
      </c>
    </row>
    <row r="116" spans="1:13" x14ac:dyDescent="0.25">
      <c r="A116" s="2">
        <v>43528</v>
      </c>
      <c r="B116" t="s">
        <v>43</v>
      </c>
      <c r="C116">
        <v>6</v>
      </c>
      <c r="D116" s="3">
        <v>5.34</v>
      </c>
      <c r="E116" s="3">
        <v>32.04</v>
      </c>
      <c r="F116">
        <v>8</v>
      </c>
      <c r="G116">
        <v>2</v>
      </c>
      <c r="H116" s="4">
        <v>0.7</v>
      </c>
      <c r="I116" t="s">
        <v>33</v>
      </c>
      <c r="J116" t="s">
        <v>33</v>
      </c>
      <c r="L116">
        <f t="shared" si="2"/>
        <v>2019</v>
      </c>
      <c r="M116" t="str">
        <f t="shared" si="3"/>
        <v>Pre-COVID</v>
      </c>
    </row>
    <row r="117" spans="1:13" x14ac:dyDescent="0.25">
      <c r="A117" s="2">
        <v>43528</v>
      </c>
      <c r="B117" t="s">
        <v>44</v>
      </c>
      <c r="C117">
        <v>1</v>
      </c>
      <c r="D117" s="3">
        <v>4.78</v>
      </c>
      <c r="E117" s="3">
        <v>4.78</v>
      </c>
      <c r="F117">
        <v>3</v>
      </c>
      <c r="G117">
        <v>2</v>
      </c>
      <c r="H117" s="4">
        <v>1.7</v>
      </c>
      <c r="I117" t="s">
        <v>46</v>
      </c>
      <c r="J117" t="s">
        <v>33</v>
      </c>
      <c r="K117" t="s">
        <v>47</v>
      </c>
      <c r="L117">
        <f t="shared" si="2"/>
        <v>2019</v>
      </c>
      <c r="M117" t="str">
        <f t="shared" si="3"/>
        <v>Pre-COVID</v>
      </c>
    </row>
    <row r="118" spans="1:13" x14ac:dyDescent="0.25">
      <c r="A118" s="2">
        <v>43528</v>
      </c>
      <c r="B118" t="s">
        <v>45</v>
      </c>
      <c r="C118">
        <v>0</v>
      </c>
      <c r="D118" s="3">
        <v>15.39</v>
      </c>
      <c r="E118" s="3">
        <v>0</v>
      </c>
      <c r="F118">
        <v>3</v>
      </c>
      <c r="G118">
        <v>3</v>
      </c>
      <c r="H118" s="4">
        <v>0</v>
      </c>
      <c r="I118" t="s">
        <v>33</v>
      </c>
      <c r="J118" t="s">
        <v>33</v>
      </c>
      <c r="L118">
        <f t="shared" si="2"/>
        <v>2019</v>
      </c>
      <c r="M118" t="str">
        <f t="shared" si="3"/>
        <v>Pre-COVID</v>
      </c>
    </row>
    <row r="119" spans="1:13" x14ac:dyDescent="0.25">
      <c r="A119" s="2">
        <v>43535</v>
      </c>
      <c r="B119" t="s">
        <v>32</v>
      </c>
      <c r="C119">
        <v>24</v>
      </c>
      <c r="D119" s="3">
        <v>7.03</v>
      </c>
      <c r="E119" s="3">
        <v>168.72</v>
      </c>
      <c r="F119">
        <v>26</v>
      </c>
      <c r="G119">
        <v>6</v>
      </c>
      <c r="H119" s="4">
        <v>1.1000000000000001</v>
      </c>
      <c r="I119" t="s">
        <v>33</v>
      </c>
      <c r="J119" t="s">
        <v>33</v>
      </c>
      <c r="L119">
        <f t="shared" si="2"/>
        <v>2019</v>
      </c>
      <c r="M119" t="str">
        <f t="shared" si="3"/>
        <v>Pre-COVID</v>
      </c>
    </row>
    <row r="120" spans="1:13" x14ac:dyDescent="0.25">
      <c r="A120" s="2">
        <v>43535</v>
      </c>
      <c r="B120" t="s">
        <v>34</v>
      </c>
      <c r="C120">
        <v>20</v>
      </c>
      <c r="D120" s="3">
        <v>7.29</v>
      </c>
      <c r="E120" s="3">
        <v>145.80000000000001</v>
      </c>
      <c r="F120">
        <v>30</v>
      </c>
      <c r="G120">
        <v>14</v>
      </c>
      <c r="H120" s="4">
        <v>0.8</v>
      </c>
      <c r="I120" t="s">
        <v>33</v>
      </c>
      <c r="J120" t="s">
        <v>33</v>
      </c>
      <c r="L120">
        <f t="shared" si="2"/>
        <v>2019</v>
      </c>
      <c r="M120" t="str">
        <f t="shared" si="3"/>
        <v>Pre-COVID</v>
      </c>
    </row>
    <row r="121" spans="1:13" x14ac:dyDescent="0.25">
      <c r="A121" s="2">
        <v>43535</v>
      </c>
      <c r="B121" t="s">
        <v>35</v>
      </c>
      <c r="C121">
        <v>10</v>
      </c>
      <c r="D121" s="3">
        <v>6.05</v>
      </c>
      <c r="E121" s="3">
        <v>60.5</v>
      </c>
      <c r="F121">
        <v>12</v>
      </c>
      <c r="G121">
        <v>2</v>
      </c>
      <c r="H121" s="4">
        <v>1.4</v>
      </c>
      <c r="I121" t="s">
        <v>33</v>
      </c>
      <c r="J121" t="s">
        <v>46</v>
      </c>
      <c r="L121">
        <f t="shared" si="2"/>
        <v>2019</v>
      </c>
      <c r="M121" t="str">
        <f t="shared" si="3"/>
        <v>Pre-COVID</v>
      </c>
    </row>
    <row r="122" spans="1:13" x14ac:dyDescent="0.25">
      <c r="A122" s="2">
        <v>43535</v>
      </c>
      <c r="B122" t="s">
        <v>36</v>
      </c>
      <c r="C122">
        <v>11</v>
      </c>
      <c r="D122" s="3">
        <v>6.08</v>
      </c>
      <c r="E122" s="3">
        <v>66.88</v>
      </c>
      <c r="F122">
        <v>17</v>
      </c>
      <c r="G122">
        <v>8</v>
      </c>
      <c r="H122" s="4">
        <v>1.6</v>
      </c>
      <c r="I122" t="s">
        <v>33</v>
      </c>
      <c r="J122" t="s">
        <v>33</v>
      </c>
      <c r="L122">
        <f t="shared" si="2"/>
        <v>2019</v>
      </c>
      <c r="M122" t="str">
        <f t="shared" si="3"/>
        <v>Pre-COVID</v>
      </c>
    </row>
    <row r="123" spans="1:13" x14ac:dyDescent="0.25">
      <c r="A123" s="2">
        <v>43535</v>
      </c>
      <c r="B123" t="s">
        <v>37</v>
      </c>
      <c r="C123">
        <v>37</v>
      </c>
      <c r="D123" s="3">
        <v>3.35</v>
      </c>
      <c r="E123" s="3">
        <v>123.95</v>
      </c>
      <c r="F123">
        <v>56</v>
      </c>
      <c r="G123">
        <v>19</v>
      </c>
      <c r="H123" s="4">
        <v>0.7</v>
      </c>
      <c r="I123" t="s">
        <v>33</v>
      </c>
      <c r="J123" t="s">
        <v>33</v>
      </c>
      <c r="L123">
        <f t="shared" si="2"/>
        <v>2019</v>
      </c>
      <c r="M123" t="str">
        <f t="shared" si="3"/>
        <v>Pre-COVID</v>
      </c>
    </row>
    <row r="124" spans="1:13" x14ac:dyDescent="0.25">
      <c r="A124" s="2">
        <v>43535</v>
      </c>
      <c r="B124" t="s">
        <v>38</v>
      </c>
      <c r="C124">
        <v>16</v>
      </c>
      <c r="D124" s="3">
        <v>8.41</v>
      </c>
      <c r="E124" s="3">
        <v>134.56</v>
      </c>
      <c r="F124">
        <v>22</v>
      </c>
      <c r="G124">
        <v>10</v>
      </c>
      <c r="H124" s="4">
        <v>1</v>
      </c>
      <c r="I124" t="s">
        <v>33</v>
      </c>
      <c r="J124" t="s">
        <v>33</v>
      </c>
      <c r="L124">
        <f t="shared" si="2"/>
        <v>2019</v>
      </c>
      <c r="M124" t="str">
        <f t="shared" si="3"/>
        <v>Pre-COVID</v>
      </c>
    </row>
    <row r="125" spans="1:13" x14ac:dyDescent="0.25">
      <c r="A125" s="2">
        <v>43535</v>
      </c>
      <c r="B125" t="s">
        <v>39</v>
      </c>
      <c r="C125">
        <v>29</v>
      </c>
      <c r="D125" s="3">
        <v>11.64</v>
      </c>
      <c r="E125" s="3">
        <v>337.56</v>
      </c>
      <c r="F125">
        <v>39</v>
      </c>
      <c r="G125">
        <v>10</v>
      </c>
      <c r="H125" s="4">
        <v>0.5</v>
      </c>
      <c r="I125" t="s">
        <v>33</v>
      </c>
      <c r="J125" t="s">
        <v>33</v>
      </c>
      <c r="L125">
        <f t="shared" si="2"/>
        <v>2019</v>
      </c>
      <c r="M125" t="str">
        <f t="shared" si="3"/>
        <v>Pre-COVID</v>
      </c>
    </row>
    <row r="126" spans="1:13" x14ac:dyDescent="0.25">
      <c r="A126" s="2">
        <v>43535</v>
      </c>
      <c r="B126" t="s">
        <v>40</v>
      </c>
      <c r="C126">
        <v>12</v>
      </c>
      <c r="D126" s="3">
        <v>0.65</v>
      </c>
      <c r="E126" s="3">
        <v>7.8</v>
      </c>
      <c r="F126">
        <v>20</v>
      </c>
      <c r="G126">
        <v>11</v>
      </c>
      <c r="H126" s="4">
        <v>0.7</v>
      </c>
      <c r="I126" t="s">
        <v>33</v>
      </c>
      <c r="J126" t="s">
        <v>33</v>
      </c>
      <c r="L126">
        <f t="shared" si="2"/>
        <v>2019</v>
      </c>
      <c r="M126" t="str">
        <f t="shared" si="3"/>
        <v>Pre-COVID</v>
      </c>
    </row>
    <row r="127" spans="1:13" x14ac:dyDescent="0.25">
      <c r="A127" s="2">
        <v>43535</v>
      </c>
      <c r="B127" t="s">
        <v>41</v>
      </c>
      <c r="C127">
        <v>6</v>
      </c>
      <c r="D127" s="3">
        <v>1.32</v>
      </c>
      <c r="E127" s="3">
        <v>7.92</v>
      </c>
      <c r="F127">
        <v>7</v>
      </c>
      <c r="G127">
        <v>2</v>
      </c>
      <c r="H127" s="4">
        <v>1.1000000000000001</v>
      </c>
      <c r="I127" t="s">
        <v>33</v>
      </c>
      <c r="J127" t="s">
        <v>33</v>
      </c>
      <c r="L127">
        <f t="shared" si="2"/>
        <v>2019</v>
      </c>
      <c r="M127" t="str">
        <f t="shared" si="3"/>
        <v>Pre-COVID</v>
      </c>
    </row>
    <row r="128" spans="1:13" x14ac:dyDescent="0.25">
      <c r="A128" s="2">
        <v>43535</v>
      </c>
      <c r="B128" t="s">
        <v>42</v>
      </c>
      <c r="C128">
        <v>7</v>
      </c>
      <c r="D128" s="3">
        <v>4.04</v>
      </c>
      <c r="E128" s="3">
        <v>28.28</v>
      </c>
      <c r="F128">
        <v>9</v>
      </c>
      <c r="G128">
        <v>3</v>
      </c>
      <c r="H128" s="4">
        <v>1.2</v>
      </c>
      <c r="I128" t="s">
        <v>33</v>
      </c>
      <c r="J128" t="s">
        <v>33</v>
      </c>
      <c r="L128">
        <f t="shared" si="2"/>
        <v>2019</v>
      </c>
      <c r="M128" t="str">
        <f t="shared" si="3"/>
        <v>Pre-COVID</v>
      </c>
    </row>
    <row r="129" spans="1:13" x14ac:dyDescent="0.25">
      <c r="A129" s="2">
        <v>43535</v>
      </c>
      <c r="B129" t="s">
        <v>43</v>
      </c>
      <c r="C129">
        <v>5</v>
      </c>
      <c r="D129" s="3">
        <v>5.6</v>
      </c>
      <c r="E129" s="3">
        <v>28</v>
      </c>
      <c r="F129">
        <v>6</v>
      </c>
      <c r="G129">
        <v>2</v>
      </c>
      <c r="H129" s="4">
        <v>0.3</v>
      </c>
      <c r="I129" t="s">
        <v>33</v>
      </c>
      <c r="J129" t="s">
        <v>33</v>
      </c>
      <c r="L129">
        <f t="shared" si="2"/>
        <v>2019</v>
      </c>
      <c r="M129" t="str">
        <f t="shared" si="3"/>
        <v>Pre-COVID</v>
      </c>
    </row>
    <row r="130" spans="1:13" x14ac:dyDescent="0.25">
      <c r="A130" s="2">
        <v>43535</v>
      </c>
      <c r="B130" t="s">
        <v>44</v>
      </c>
      <c r="C130">
        <v>0</v>
      </c>
      <c r="D130" s="3">
        <v>4.92</v>
      </c>
      <c r="E130" s="3">
        <v>0</v>
      </c>
      <c r="F130">
        <v>3</v>
      </c>
      <c r="G130">
        <v>3</v>
      </c>
      <c r="H130" s="4">
        <v>0.7</v>
      </c>
      <c r="I130" t="s">
        <v>33</v>
      </c>
      <c r="J130" t="s">
        <v>33</v>
      </c>
      <c r="L130">
        <f t="shared" ref="L130:L193" si="4">YEAR(A130)</f>
        <v>2019</v>
      </c>
      <c r="M130" t="str">
        <f t="shared" ref="M130:M193" si="5">IF(L130=2019,"Pre-COVID","COVID Period")</f>
        <v>Pre-COVID</v>
      </c>
    </row>
    <row r="131" spans="1:13" x14ac:dyDescent="0.25">
      <c r="A131" s="2">
        <v>43535</v>
      </c>
      <c r="B131" t="s">
        <v>45</v>
      </c>
      <c r="C131">
        <v>0</v>
      </c>
      <c r="D131" s="3">
        <v>14.81</v>
      </c>
      <c r="E131" s="3">
        <v>0</v>
      </c>
      <c r="F131">
        <v>3</v>
      </c>
      <c r="G131">
        <v>3</v>
      </c>
      <c r="H131" s="4">
        <v>0.8</v>
      </c>
      <c r="I131" t="s">
        <v>33</v>
      </c>
      <c r="J131" t="s">
        <v>33</v>
      </c>
      <c r="L131">
        <f t="shared" si="4"/>
        <v>2019</v>
      </c>
      <c r="M131" t="str">
        <f t="shared" si="5"/>
        <v>Pre-COVID</v>
      </c>
    </row>
    <row r="132" spans="1:13" x14ac:dyDescent="0.25">
      <c r="A132" s="2">
        <v>43542</v>
      </c>
      <c r="B132" t="s">
        <v>32</v>
      </c>
      <c r="C132">
        <v>20</v>
      </c>
      <c r="D132" s="3">
        <v>6.84</v>
      </c>
      <c r="E132" s="3">
        <v>136.80000000000001</v>
      </c>
      <c r="F132">
        <v>30</v>
      </c>
      <c r="G132">
        <v>12</v>
      </c>
      <c r="H132" s="4">
        <v>0.7</v>
      </c>
      <c r="I132" t="s">
        <v>33</v>
      </c>
      <c r="J132" t="s">
        <v>33</v>
      </c>
      <c r="L132">
        <f t="shared" si="4"/>
        <v>2019</v>
      </c>
      <c r="M132" t="str">
        <f t="shared" si="5"/>
        <v>Pre-COVID</v>
      </c>
    </row>
    <row r="133" spans="1:13" x14ac:dyDescent="0.25">
      <c r="A133" s="2">
        <v>43542</v>
      </c>
      <c r="B133" t="s">
        <v>34</v>
      </c>
      <c r="C133">
        <v>24</v>
      </c>
      <c r="D133" s="3">
        <v>6.86</v>
      </c>
      <c r="E133" s="3">
        <v>164.64</v>
      </c>
      <c r="F133">
        <v>25</v>
      </c>
      <c r="G133">
        <v>2</v>
      </c>
      <c r="H133" s="4">
        <v>1.1000000000000001</v>
      </c>
      <c r="I133" t="s">
        <v>33</v>
      </c>
      <c r="J133" t="s">
        <v>33</v>
      </c>
      <c r="L133">
        <f t="shared" si="4"/>
        <v>2019</v>
      </c>
      <c r="M133" t="str">
        <f t="shared" si="5"/>
        <v>Pre-COVID</v>
      </c>
    </row>
    <row r="134" spans="1:13" x14ac:dyDescent="0.25">
      <c r="A134" s="2">
        <v>43542</v>
      </c>
      <c r="B134" t="s">
        <v>35</v>
      </c>
      <c r="C134">
        <v>16</v>
      </c>
      <c r="D134" s="3">
        <v>6.03</v>
      </c>
      <c r="E134" s="3">
        <v>96.48</v>
      </c>
      <c r="F134">
        <v>24</v>
      </c>
      <c r="G134">
        <v>11</v>
      </c>
      <c r="H134" s="4">
        <v>1.9</v>
      </c>
      <c r="I134" t="s">
        <v>33</v>
      </c>
      <c r="J134" t="s">
        <v>33</v>
      </c>
      <c r="L134">
        <f t="shared" si="4"/>
        <v>2019</v>
      </c>
      <c r="M134" t="str">
        <f t="shared" si="5"/>
        <v>Pre-COVID</v>
      </c>
    </row>
    <row r="135" spans="1:13" x14ac:dyDescent="0.25">
      <c r="A135" s="2">
        <v>43542</v>
      </c>
      <c r="B135" t="s">
        <v>36</v>
      </c>
      <c r="C135">
        <v>13</v>
      </c>
      <c r="D135" s="3">
        <v>5.96</v>
      </c>
      <c r="E135" s="3">
        <v>77.48</v>
      </c>
      <c r="F135">
        <v>14</v>
      </c>
      <c r="G135">
        <v>2</v>
      </c>
      <c r="H135" s="4">
        <v>0.9</v>
      </c>
      <c r="I135" t="s">
        <v>33</v>
      </c>
      <c r="J135" t="s">
        <v>33</v>
      </c>
      <c r="L135">
        <f t="shared" si="4"/>
        <v>2019</v>
      </c>
      <c r="M135" t="str">
        <f t="shared" si="5"/>
        <v>Pre-COVID</v>
      </c>
    </row>
    <row r="136" spans="1:13" x14ac:dyDescent="0.25">
      <c r="A136" s="2">
        <v>43542</v>
      </c>
      <c r="B136" t="s">
        <v>37</v>
      </c>
      <c r="C136">
        <v>33</v>
      </c>
      <c r="D136" s="3">
        <v>3.31</v>
      </c>
      <c r="E136" s="3">
        <v>109.23</v>
      </c>
      <c r="F136">
        <v>46</v>
      </c>
      <c r="G136">
        <v>19</v>
      </c>
      <c r="H136" s="4">
        <v>0</v>
      </c>
      <c r="I136" t="s">
        <v>33</v>
      </c>
      <c r="J136" t="s">
        <v>33</v>
      </c>
      <c r="L136">
        <f t="shared" si="4"/>
        <v>2019</v>
      </c>
      <c r="M136" t="str">
        <f t="shared" si="5"/>
        <v>Pre-COVID</v>
      </c>
    </row>
    <row r="137" spans="1:13" x14ac:dyDescent="0.25">
      <c r="A137" s="2">
        <v>43542</v>
      </c>
      <c r="B137" t="s">
        <v>38</v>
      </c>
      <c r="C137">
        <v>24</v>
      </c>
      <c r="D137" s="3">
        <v>8.64</v>
      </c>
      <c r="E137" s="3">
        <v>207.36</v>
      </c>
      <c r="F137">
        <v>35</v>
      </c>
      <c r="G137">
        <v>16</v>
      </c>
      <c r="H137" s="4">
        <v>0.5</v>
      </c>
      <c r="I137" t="s">
        <v>33</v>
      </c>
      <c r="J137" t="s">
        <v>33</v>
      </c>
      <c r="L137">
        <f t="shared" si="4"/>
        <v>2019</v>
      </c>
      <c r="M137" t="str">
        <f t="shared" si="5"/>
        <v>Pre-COVID</v>
      </c>
    </row>
    <row r="138" spans="1:13" x14ac:dyDescent="0.25">
      <c r="A138" s="2">
        <v>43542</v>
      </c>
      <c r="B138" t="s">
        <v>39</v>
      </c>
      <c r="C138">
        <v>30</v>
      </c>
      <c r="D138" s="3">
        <v>11.63</v>
      </c>
      <c r="E138" s="3">
        <v>348.9</v>
      </c>
      <c r="F138">
        <v>49</v>
      </c>
      <c r="G138">
        <v>22</v>
      </c>
      <c r="H138" s="4">
        <v>0.3</v>
      </c>
      <c r="I138" t="s">
        <v>33</v>
      </c>
      <c r="J138" t="s">
        <v>33</v>
      </c>
      <c r="L138">
        <f t="shared" si="4"/>
        <v>2019</v>
      </c>
      <c r="M138" t="str">
        <f t="shared" si="5"/>
        <v>Pre-COVID</v>
      </c>
    </row>
    <row r="139" spans="1:13" x14ac:dyDescent="0.25">
      <c r="A139" s="2">
        <v>43542</v>
      </c>
      <c r="B139" t="s">
        <v>40</v>
      </c>
      <c r="C139">
        <v>14</v>
      </c>
      <c r="D139" s="3">
        <v>0.65</v>
      </c>
      <c r="E139" s="3">
        <v>9.1</v>
      </c>
      <c r="F139">
        <v>14</v>
      </c>
      <c r="G139">
        <v>1</v>
      </c>
      <c r="H139" s="4">
        <v>0.4</v>
      </c>
      <c r="I139" t="s">
        <v>33</v>
      </c>
      <c r="J139" t="s">
        <v>33</v>
      </c>
      <c r="L139">
        <f t="shared" si="4"/>
        <v>2019</v>
      </c>
      <c r="M139" t="str">
        <f t="shared" si="5"/>
        <v>Pre-COVID</v>
      </c>
    </row>
    <row r="140" spans="1:13" x14ac:dyDescent="0.25">
      <c r="A140" s="2">
        <v>43542</v>
      </c>
      <c r="B140" t="s">
        <v>41</v>
      </c>
      <c r="C140">
        <v>6</v>
      </c>
      <c r="D140" s="3">
        <v>1.31</v>
      </c>
      <c r="E140" s="3">
        <v>7.86</v>
      </c>
      <c r="F140">
        <v>6</v>
      </c>
      <c r="G140">
        <v>1</v>
      </c>
      <c r="H140" s="4">
        <v>0.9</v>
      </c>
      <c r="I140" t="s">
        <v>33</v>
      </c>
      <c r="J140" t="s">
        <v>33</v>
      </c>
      <c r="L140">
        <f t="shared" si="4"/>
        <v>2019</v>
      </c>
      <c r="M140" t="str">
        <f t="shared" si="5"/>
        <v>Pre-COVID</v>
      </c>
    </row>
    <row r="141" spans="1:13" x14ac:dyDescent="0.25">
      <c r="A141" s="2">
        <v>43542</v>
      </c>
      <c r="B141" t="s">
        <v>42</v>
      </c>
      <c r="C141">
        <v>6</v>
      </c>
      <c r="D141" s="3">
        <v>4.04</v>
      </c>
      <c r="E141" s="3">
        <v>24.24</v>
      </c>
      <c r="F141">
        <v>7</v>
      </c>
      <c r="G141">
        <v>1</v>
      </c>
      <c r="H141" s="4">
        <v>0.5</v>
      </c>
      <c r="I141" t="s">
        <v>33</v>
      </c>
      <c r="J141" t="s">
        <v>33</v>
      </c>
      <c r="L141">
        <f t="shared" si="4"/>
        <v>2019</v>
      </c>
      <c r="M141" t="str">
        <f t="shared" si="5"/>
        <v>Pre-COVID</v>
      </c>
    </row>
    <row r="142" spans="1:13" x14ac:dyDescent="0.25">
      <c r="A142" s="2">
        <v>43542</v>
      </c>
      <c r="B142" t="s">
        <v>43</v>
      </c>
      <c r="C142">
        <v>5</v>
      </c>
      <c r="D142" s="3">
        <v>5.68</v>
      </c>
      <c r="E142" s="3">
        <v>28.4</v>
      </c>
      <c r="F142">
        <v>8</v>
      </c>
      <c r="G142">
        <v>4</v>
      </c>
      <c r="H142" s="4">
        <v>1</v>
      </c>
      <c r="I142" t="s">
        <v>33</v>
      </c>
      <c r="J142" t="s">
        <v>33</v>
      </c>
      <c r="L142">
        <f t="shared" si="4"/>
        <v>2019</v>
      </c>
      <c r="M142" t="str">
        <f t="shared" si="5"/>
        <v>Pre-COVID</v>
      </c>
    </row>
    <row r="143" spans="1:13" x14ac:dyDescent="0.25">
      <c r="A143" s="2">
        <v>43542</v>
      </c>
      <c r="B143" t="s">
        <v>44</v>
      </c>
      <c r="C143">
        <v>1</v>
      </c>
      <c r="D143" s="3">
        <v>4.68</v>
      </c>
      <c r="E143" s="3">
        <v>4.68</v>
      </c>
      <c r="F143">
        <v>3</v>
      </c>
      <c r="G143">
        <v>2</v>
      </c>
      <c r="H143" s="4">
        <v>0.4</v>
      </c>
      <c r="I143" t="s">
        <v>46</v>
      </c>
      <c r="J143" t="s">
        <v>33</v>
      </c>
      <c r="K143" t="s">
        <v>47</v>
      </c>
      <c r="L143">
        <f t="shared" si="4"/>
        <v>2019</v>
      </c>
      <c r="M143" t="str">
        <f t="shared" si="5"/>
        <v>Pre-COVID</v>
      </c>
    </row>
    <row r="144" spans="1:13" x14ac:dyDescent="0.25">
      <c r="A144" s="2">
        <v>43542</v>
      </c>
      <c r="B144" t="s">
        <v>45</v>
      </c>
      <c r="C144">
        <v>2</v>
      </c>
      <c r="D144" s="3">
        <v>14.77</v>
      </c>
      <c r="E144" s="3">
        <v>29.54</v>
      </c>
      <c r="F144">
        <v>3</v>
      </c>
      <c r="G144">
        <v>1</v>
      </c>
      <c r="H144" s="4">
        <v>1.3</v>
      </c>
      <c r="I144" t="s">
        <v>46</v>
      </c>
      <c r="J144" t="s">
        <v>33</v>
      </c>
      <c r="L144">
        <f t="shared" si="4"/>
        <v>2019</v>
      </c>
      <c r="M144" t="str">
        <f t="shared" si="5"/>
        <v>Pre-COVID</v>
      </c>
    </row>
    <row r="145" spans="1:13" x14ac:dyDescent="0.25">
      <c r="A145" s="2">
        <v>43549</v>
      </c>
      <c r="B145" t="s">
        <v>32</v>
      </c>
      <c r="C145">
        <v>18</v>
      </c>
      <c r="D145" s="3">
        <v>7.1</v>
      </c>
      <c r="E145" s="3">
        <v>127.8</v>
      </c>
      <c r="F145">
        <v>22</v>
      </c>
      <c r="G145">
        <v>4</v>
      </c>
      <c r="H145" s="4">
        <v>0.2</v>
      </c>
      <c r="I145" t="s">
        <v>33</v>
      </c>
      <c r="J145" t="s">
        <v>33</v>
      </c>
      <c r="L145">
        <f t="shared" si="4"/>
        <v>2019</v>
      </c>
      <c r="M145" t="str">
        <f t="shared" si="5"/>
        <v>Pre-COVID</v>
      </c>
    </row>
    <row r="146" spans="1:13" x14ac:dyDescent="0.25">
      <c r="A146" s="2">
        <v>43549</v>
      </c>
      <c r="B146" t="s">
        <v>34</v>
      </c>
      <c r="C146">
        <v>21</v>
      </c>
      <c r="D146" s="3">
        <v>6.89</v>
      </c>
      <c r="E146" s="3">
        <v>144.69</v>
      </c>
      <c r="F146">
        <v>25</v>
      </c>
      <c r="G146">
        <v>6</v>
      </c>
      <c r="H146" s="4">
        <v>0.4</v>
      </c>
      <c r="I146" t="s">
        <v>33</v>
      </c>
      <c r="J146" t="s">
        <v>33</v>
      </c>
      <c r="L146">
        <f t="shared" si="4"/>
        <v>2019</v>
      </c>
      <c r="M146" t="str">
        <f t="shared" si="5"/>
        <v>Pre-COVID</v>
      </c>
    </row>
    <row r="147" spans="1:13" x14ac:dyDescent="0.25">
      <c r="A147" s="2">
        <v>43549</v>
      </c>
      <c r="B147" t="s">
        <v>35</v>
      </c>
      <c r="C147">
        <v>21</v>
      </c>
      <c r="D147" s="3">
        <v>6.11</v>
      </c>
      <c r="E147" s="3">
        <v>128.31</v>
      </c>
      <c r="F147">
        <v>29</v>
      </c>
      <c r="G147">
        <v>10</v>
      </c>
      <c r="H147" s="4">
        <v>1.1000000000000001</v>
      </c>
      <c r="I147" t="s">
        <v>46</v>
      </c>
      <c r="J147" t="s">
        <v>33</v>
      </c>
      <c r="L147">
        <f t="shared" si="4"/>
        <v>2019</v>
      </c>
      <c r="M147" t="str">
        <f t="shared" si="5"/>
        <v>Pre-COVID</v>
      </c>
    </row>
    <row r="148" spans="1:13" x14ac:dyDescent="0.25">
      <c r="A148" s="2">
        <v>43549</v>
      </c>
      <c r="B148" t="s">
        <v>36</v>
      </c>
      <c r="C148">
        <v>16</v>
      </c>
      <c r="D148" s="3">
        <v>6.14</v>
      </c>
      <c r="E148" s="3">
        <v>98.24</v>
      </c>
      <c r="F148">
        <v>24</v>
      </c>
      <c r="G148">
        <v>9</v>
      </c>
      <c r="H148" s="4">
        <v>0.9</v>
      </c>
      <c r="I148" t="s">
        <v>33</v>
      </c>
      <c r="J148" t="s">
        <v>33</v>
      </c>
      <c r="L148">
        <f t="shared" si="4"/>
        <v>2019</v>
      </c>
      <c r="M148" t="str">
        <f t="shared" si="5"/>
        <v>Pre-COVID</v>
      </c>
    </row>
    <row r="149" spans="1:13" x14ac:dyDescent="0.25">
      <c r="A149" s="2">
        <v>43549</v>
      </c>
      <c r="B149" t="s">
        <v>37</v>
      </c>
      <c r="C149">
        <v>30</v>
      </c>
      <c r="D149" s="3">
        <v>3.36</v>
      </c>
      <c r="E149" s="3">
        <v>100.8</v>
      </c>
      <c r="F149">
        <v>41</v>
      </c>
      <c r="G149">
        <v>13</v>
      </c>
      <c r="H149" s="4">
        <v>1.6</v>
      </c>
      <c r="I149" t="s">
        <v>33</v>
      </c>
      <c r="J149" t="s">
        <v>33</v>
      </c>
      <c r="L149">
        <f t="shared" si="4"/>
        <v>2019</v>
      </c>
      <c r="M149" t="str">
        <f t="shared" si="5"/>
        <v>Pre-COVID</v>
      </c>
    </row>
    <row r="150" spans="1:13" x14ac:dyDescent="0.25">
      <c r="A150" s="2">
        <v>43549</v>
      </c>
      <c r="B150" t="s">
        <v>38</v>
      </c>
      <c r="C150">
        <v>13</v>
      </c>
      <c r="D150" s="3">
        <v>8.18</v>
      </c>
      <c r="E150" s="3">
        <v>106.34</v>
      </c>
      <c r="F150">
        <v>15</v>
      </c>
      <c r="G150">
        <v>2</v>
      </c>
      <c r="H150" s="4">
        <v>0</v>
      </c>
      <c r="I150" t="s">
        <v>33</v>
      </c>
      <c r="J150" t="s">
        <v>33</v>
      </c>
      <c r="L150">
        <f t="shared" si="4"/>
        <v>2019</v>
      </c>
      <c r="M150" t="str">
        <f t="shared" si="5"/>
        <v>Pre-COVID</v>
      </c>
    </row>
    <row r="151" spans="1:13" x14ac:dyDescent="0.25">
      <c r="A151" s="2">
        <v>43549</v>
      </c>
      <c r="B151" t="s">
        <v>39</v>
      </c>
      <c r="C151">
        <v>28</v>
      </c>
      <c r="D151" s="3">
        <v>11.89</v>
      </c>
      <c r="E151" s="3">
        <v>332.92</v>
      </c>
      <c r="F151">
        <v>29</v>
      </c>
      <c r="G151">
        <v>1</v>
      </c>
      <c r="H151" s="4">
        <v>0.4</v>
      </c>
      <c r="I151" t="s">
        <v>33</v>
      </c>
      <c r="J151" t="s">
        <v>33</v>
      </c>
      <c r="L151">
        <f t="shared" si="4"/>
        <v>2019</v>
      </c>
      <c r="M151" t="str">
        <f t="shared" si="5"/>
        <v>Pre-COVID</v>
      </c>
    </row>
    <row r="152" spans="1:13" x14ac:dyDescent="0.25">
      <c r="A152" s="2">
        <v>43549</v>
      </c>
      <c r="B152" t="s">
        <v>40</v>
      </c>
      <c r="C152">
        <v>8</v>
      </c>
      <c r="D152" s="3">
        <v>0.63</v>
      </c>
      <c r="E152" s="3">
        <v>5.04</v>
      </c>
      <c r="F152">
        <v>10</v>
      </c>
      <c r="G152">
        <v>3</v>
      </c>
      <c r="H152" s="4">
        <v>0.5</v>
      </c>
      <c r="I152" t="s">
        <v>33</v>
      </c>
      <c r="J152" t="s">
        <v>33</v>
      </c>
      <c r="L152">
        <f t="shared" si="4"/>
        <v>2019</v>
      </c>
      <c r="M152" t="str">
        <f t="shared" si="5"/>
        <v>Pre-COVID</v>
      </c>
    </row>
    <row r="153" spans="1:13" x14ac:dyDescent="0.25">
      <c r="A153" s="2">
        <v>43549</v>
      </c>
      <c r="B153" t="s">
        <v>41</v>
      </c>
      <c r="C153">
        <v>7</v>
      </c>
      <c r="D153" s="3">
        <v>1.33</v>
      </c>
      <c r="E153" s="3">
        <v>9.31</v>
      </c>
      <c r="F153">
        <v>11</v>
      </c>
      <c r="G153">
        <v>5</v>
      </c>
      <c r="H153" s="4">
        <v>0.6</v>
      </c>
      <c r="I153" t="s">
        <v>33</v>
      </c>
      <c r="J153" t="s">
        <v>33</v>
      </c>
      <c r="L153">
        <f t="shared" si="4"/>
        <v>2019</v>
      </c>
      <c r="M153" t="str">
        <f t="shared" si="5"/>
        <v>Pre-COVID</v>
      </c>
    </row>
    <row r="154" spans="1:13" x14ac:dyDescent="0.25">
      <c r="A154" s="2">
        <v>43549</v>
      </c>
      <c r="B154" t="s">
        <v>42</v>
      </c>
      <c r="C154">
        <v>8</v>
      </c>
      <c r="D154" s="3">
        <v>4.1100000000000003</v>
      </c>
      <c r="E154" s="3">
        <v>32.880000000000003</v>
      </c>
      <c r="F154">
        <v>10</v>
      </c>
      <c r="G154">
        <v>2</v>
      </c>
      <c r="H154" s="4">
        <v>0.2</v>
      </c>
      <c r="I154" t="s">
        <v>33</v>
      </c>
      <c r="J154" t="s">
        <v>46</v>
      </c>
      <c r="L154">
        <f t="shared" si="4"/>
        <v>2019</v>
      </c>
      <c r="M154" t="str">
        <f t="shared" si="5"/>
        <v>Pre-COVID</v>
      </c>
    </row>
    <row r="155" spans="1:13" x14ac:dyDescent="0.25">
      <c r="A155" s="2">
        <v>43549</v>
      </c>
      <c r="B155" t="s">
        <v>43</v>
      </c>
      <c r="C155">
        <v>6</v>
      </c>
      <c r="D155" s="3">
        <v>5.45</v>
      </c>
      <c r="E155" s="3">
        <v>32.700000000000003</v>
      </c>
      <c r="F155">
        <v>9</v>
      </c>
      <c r="G155">
        <v>4</v>
      </c>
      <c r="H155" s="4">
        <v>0.4</v>
      </c>
      <c r="I155" t="s">
        <v>33</v>
      </c>
      <c r="J155" t="s">
        <v>33</v>
      </c>
      <c r="L155">
        <f t="shared" si="4"/>
        <v>2019</v>
      </c>
      <c r="M155" t="str">
        <f t="shared" si="5"/>
        <v>Pre-COVID</v>
      </c>
    </row>
    <row r="156" spans="1:13" x14ac:dyDescent="0.25">
      <c r="A156" s="2">
        <v>43549</v>
      </c>
      <c r="B156" t="s">
        <v>44</v>
      </c>
      <c r="C156">
        <v>0</v>
      </c>
      <c r="D156" s="3">
        <v>4.8099999999999996</v>
      </c>
      <c r="E156" s="3">
        <v>0</v>
      </c>
      <c r="F156">
        <v>3</v>
      </c>
      <c r="G156">
        <v>3</v>
      </c>
      <c r="H156" s="4">
        <v>0.9</v>
      </c>
      <c r="I156" t="s">
        <v>33</v>
      </c>
      <c r="J156" t="s">
        <v>33</v>
      </c>
      <c r="L156">
        <f t="shared" si="4"/>
        <v>2019</v>
      </c>
      <c r="M156" t="str">
        <f t="shared" si="5"/>
        <v>Pre-COVID</v>
      </c>
    </row>
    <row r="157" spans="1:13" x14ac:dyDescent="0.25">
      <c r="A157" s="2">
        <v>43549</v>
      </c>
      <c r="B157" t="s">
        <v>45</v>
      </c>
      <c r="C157">
        <v>0</v>
      </c>
      <c r="D157" s="3">
        <v>15.38</v>
      </c>
      <c r="E157" s="3">
        <v>0</v>
      </c>
      <c r="F157">
        <v>3</v>
      </c>
      <c r="G157">
        <v>3</v>
      </c>
      <c r="H157" s="4">
        <v>1.2</v>
      </c>
      <c r="I157" t="s">
        <v>33</v>
      </c>
      <c r="J157" t="s">
        <v>33</v>
      </c>
      <c r="L157">
        <f t="shared" si="4"/>
        <v>2019</v>
      </c>
      <c r="M157" t="str">
        <f t="shared" si="5"/>
        <v>Pre-COVID</v>
      </c>
    </row>
    <row r="158" spans="1:13" x14ac:dyDescent="0.25">
      <c r="A158" s="2">
        <v>43556</v>
      </c>
      <c r="B158" t="s">
        <v>32</v>
      </c>
      <c r="C158">
        <v>15</v>
      </c>
      <c r="D158" s="3">
        <v>6.87</v>
      </c>
      <c r="E158" s="3">
        <v>103.05</v>
      </c>
      <c r="F158">
        <v>20</v>
      </c>
      <c r="G158">
        <v>8</v>
      </c>
      <c r="H158" s="4">
        <v>1</v>
      </c>
      <c r="I158" t="s">
        <v>33</v>
      </c>
      <c r="J158" t="s">
        <v>33</v>
      </c>
      <c r="L158">
        <f t="shared" si="4"/>
        <v>2019</v>
      </c>
      <c r="M158" t="str">
        <f t="shared" si="5"/>
        <v>Pre-COVID</v>
      </c>
    </row>
    <row r="159" spans="1:13" x14ac:dyDescent="0.25">
      <c r="A159" s="2">
        <v>43556</v>
      </c>
      <c r="B159" t="s">
        <v>34</v>
      </c>
      <c r="C159">
        <v>19</v>
      </c>
      <c r="D159" s="3">
        <v>7.41</v>
      </c>
      <c r="E159" s="3">
        <v>140.79</v>
      </c>
      <c r="F159">
        <v>26</v>
      </c>
      <c r="G159">
        <v>7</v>
      </c>
      <c r="H159" s="4">
        <v>0.2</v>
      </c>
      <c r="I159" t="s">
        <v>33</v>
      </c>
      <c r="J159" t="s">
        <v>33</v>
      </c>
      <c r="L159">
        <f t="shared" si="4"/>
        <v>2019</v>
      </c>
      <c r="M159" t="str">
        <f t="shared" si="5"/>
        <v>Pre-COVID</v>
      </c>
    </row>
    <row r="160" spans="1:13" x14ac:dyDescent="0.25">
      <c r="A160" s="2">
        <v>43556</v>
      </c>
      <c r="B160" t="s">
        <v>35</v>
      </c>
      <c r="C160">
        <v>10</v>
      </c>
      <c r="D160" s="3">
        <v>5.72</v>
      </c>
      <c r="E160" s="3">
        <v>57.2</v>
      </c>
      <c r="F160">
        <v>14</v>
      </c>
      <c r="G160">
        <v>6</v>
      </c>
      <c r="H160" s="4">
        <v>0.6</v>
      </c>
      <c r="I160" t="s">
        <v>33</v>
      </c>
      <c r="J160" t="s">
        <v>33</v>
      </c>
      <c r="L160">
        <f t="shared" si="4"/>
        <v>2019</v>
      </c>
      <c r="M160" t="str">
        <f t="shared" si="5"/>
        <v>Pre-COVID</v>
      </c>
    </row>
    <row r="161" spans="1:13" x14ac:dyDescent="0.25">
      <c r="A161" s="2">
        <v>43556</v>
      </c>
      <c r="B161" t="s">
        <v>36</v>
      </c>
      <c r="C161">
        <v>10</v>
      </c>
      <c r="D161" s="3">
        <v>6.36</v>
      </c>
      <c r="E161" s="3">
        <v>63.6</v>
      </c>
      <c r="F161">
        <v>13</v>
      </c>
      <c r="G161">
        <v>3</v>
      </c>
      <c r="H161" s="4">
        <v>0.4</v>
      </c>
      <c r="I161" t="s">
        <v>33</v>
      </c>
      <c r="J161" t="s">
        <v>33</v>
      </c>
      <c r="L161">
        <f t="shared" si="4"/>
        <v>2019</v>
      </c>
      <c r="M161" t="str">
        <f t="shared" si="5"/>
        <v>Pre-COVID</v>
      </c>
    </row>
    <row r="162" spans="1:13" x14ac:dyDescent="0.25">
      <c r="A162" s="2">
        <v>43556</v>
      </c>
      <c r="B162" t="s">
        <v>37</v>
      </c>
      <c r="C162">
        <v>23</v>
      </c>
      <c r="D162" s="3">
        <v>3.18</v>
      </c>
      <c r="E162" s="3">
        <v>73.14</v>
      </c>
      <c r="F162">
        <v>30</v>
      </c>
      <c r="G162">
        <v>8</v>
      </c>
      <c r="H162" s="4">
        <v>0.1</v>
      </c>
      <c r="I162" t="s">
        <v>33</v>
      </c>
      <c r="J162" t="s">
        <v>33</v>
      </c>
      <c r="L162">
        <f t="shared" si="4"/>
        <v>2019</v>
      </c>
      <c r="M162" t="str">
        <f t="shared" si="5"/>
        <v>Pre-COVID</v>
      </c>
    </row>
    <row r="163" spans="1:13" x14ac:dyDescent="0.25">
      <c r="A163" s="2">
        <v>43556</v>
      </c>
      <c r="B163" t="s">
        <v>38</v>
      </c>
      <c r="C163">
        <v>13</v>
      </c>
      <c r="D163" s="3">
        <v>8.32</v>
      </c>
      <c r="E163" s="3">
        <v>108.16</v>
      </c>
      <c r="F163">
        <v>20</v>
      </c>
      <c r="G163">
        <v>8</v>
      </c>
      <c r="H163" s="4">
        <v>0.4</v>
      </c>
      <c r="I163" t="s">
        <v>33</v>
      </c>
      <c r="J163" t="s">
        <v>33</v>
      </c>
      <c r="L163">
        <f t="shared" si="4"/>
        <v>2019</v>
      </c>
      <c r="M163" t="str">
        <f t="shared" si="5"/>
        <v>Pre-COVID</v>
      </c>
    </row>
    <row r="164" spans="1:13" x14ac:dyDescent="0.25">
      <c r="A164" s="2">
        <v>43556</v>
      </c>
      <c r="B164" t="s">
        <v>39</v>
      </c>
      <c r="C164">
        <v>16</v>
      </c>
      <c r="D164" s="3">
        <v>11.55</v>
      </c>
      <c r="E164" s="3">
        <v>184.8</v>
      </c>
      <c r="F164">
        <v>23</v>
      </c>
      <c r="G164">
        <v>9</v>
      </c>
      <c r="H164" s="4">
        <v>0.4</v>
      </c>
      <c r="I164" t="s">
        <v>33</v>
      </c>
      <c r="J164" t="s">
        <v>33</v>
      </c>
      <c r="L164">
        <f t="shared" si="4"/>
        <v>2019</v>
      </c>
      <c r="M164" t="str">
        <f t="shared" si="5"/>
        <v>Pre-COVID</v>
      </c>
    </row>
    <row r="165" spans="1:13" x14ac:dyDescent="0.25">
      <c r="A165" s="2">
        <v>43556</v>
      </c>
      <c r="B165" t="s">
        <v>40</v>
      </c>
      <c r="C165">
        <v>11</v>
      </c>
      <c r="D165" s="3">
        <v>0.66</v>
      </c>
      <c r="E165" s="3">
        <v>7.26</v>
      </c>
      <c r="F165">
        <v>18</v>
      </c>
      <c r="G165">
        <v>8</v>
      </c>
      <c r="H165" s="4">
        <v>0.8</v>
      </c>
      <c r="I165" t="s">
        <v>33</v>
      </c>
      <c r="J165" t="s">
        <v>33</v>
      </c>
      <c r="L165">
        <f t="shared" si="4"/>
        <v>2019</v>
      </c>
      <c r="M165" t="str">
        <f t="shared" si="5"/>
        <v>Pre-COVID</v>
      </c>
    </row>
    <row r="166" spans="1:13" x14ac:dyDescent="0.25">
      <c r="A166" s="2">
        <v>43556</v>
      </c>
      <c r="B166" t="s">
        <v>41</v>
      </c>
      <c r="C166">
        <v>7</v>
      </c>
      <c r="D166" s="3">
        <v>1.35</v>
      </c>
      <c r="E166" s="3">
        <v>9.4499999999999993</v>
      </c>
      <c r="F166">
        <v>11</v>
      </c>
      <c r="G166">
        <v>6</v>
      </c>
      <c r="H166" s="4">
        <v>0.9</v>
      </c>
      <c r="I166" t="s">
        <v>33</v>
      </c>
      <c r="J166" t="s">
        <v>33</v>
      </c>
      <c r="L166">
        <f t="shared" si="4"/>
        <v>2019</v>
      </c>
      <c r="M166" t="str">
        <f t="shared" si="5"/>
        <v>Pre-COVID</v>
      </c>
    </row>
    <row r="167" spans="1:13" x14ac:dyDescent="0.25">
      <c r="A167" s="2">
        <v>43556</v>
      </c>
      <c r="B167" t="s">
        <v>42</v>
      </c>
      <c r="C167">
        <v>8</v>
      </c>
      <c r="D167" s="3">
        <v>4.29</v>
      </c>
      <c r="E167" s="3">
        <v>34.32</v>
      </c>
      <c r="F167">
        <v>10</v>
      </c>
      <c r="G167">
        <v>3</v>
      </c>
      <c r="H167" s="4">
        <v>0.7</v>
      </c>
      <c r="I167" t="s">
        <v>33</v>
      </c>
      <c r="J167" t="s">
        <v>33</v>
      </c>
      <c r="L167">
        <f t="shared" si="4"/>
        <v>2019</v>
      </c>
      <c r="M167" t="str">
        <f t="shared" si="5"/>
        <v>Pre-COVID</v>
      </c>
    </row>
    <row r="168" spans="1:13" x14ac:dyDescent="0.25">
      <c r="A168" s="2">
        <v>43556</v>
      </c>
      <c r="B168" t="s">
        <v>43</v>
      </c>
      <c r="C168">
        <v>5</v>
      </c>
      <c r="D168" s="3">
        <v>5.69</v>
      </c>
      <c r="E168" s="3">
        <v>28.45</v>
      </c>
      <c r="F168">
        <v>5</v>
      </c>
      <c r="G168">
        <v>1</v>
      </c>
      <c r="H168" s="4">
        <v>0</v>
      </c>
      <c r="I168" t="s">
        <v>33</v>
      </c>
      <c r="J168" t="s">
        <v>33</v>
      </c>
      <c r="L168">
        <f t="shared" si="4"/>
        <v>2019</v>
      </c>
      <c r="M168" t="str">
        <f t="shared" si="5"/>
        <v>Pre-COVID</v>
      </c>
    </row>
    <row r="169" spans="1:13" x14ac:dyDescent="0.25">
      <c r="A169" s="2">
        <v>43556</v>
      </c>
      <c r="B169" t="s">
        <v>44</v>
      </c>
      <c r="C169">
        <v>0</v>
      </c>
      <c r="D169" s="3">
        <v>4.74</v>
      </c>
      <c r="E169" s="3">
        <v>0</v>
      </c>
      <c r="F169">
        <v>3</v>
      </c>
      <c r="G169">
        <v>3</v>
      </c>
      <c r="H169" s="4">
        <v>0.3</v>
      </c>
      <c r="I169" t="s">
        <v>33</v>
      </c>
      <c r="J169" t="s">
        <v>33</v>
      </c>
      <c r="L169">
        <f t="shared" si="4"/>
        <v>2019</v>
      </c>
      <c r="M169" t="str">
        <f t="shared" si="5"/>
        <v>Pre-COVID</v>
      </c>
    </row>
    <row r="170" spans="1:13" x14ac:dyDescent="0.25">
      <c r="A170" s="2">
        <v>43556</v>
      </c>
      <c r="B170" t="s">
        <v>45</v>
      </c>
      <c r="C170">
        <v>0</v>
      </c>
      <c r="D170" s="3">
        <v>14.5</v>
      </c>
      <c r="E170" s="3">
        <v>0</v>
      </c>
      <c r="F170">
        <v>3</v>
      </c>
      <c r="G170">
        <v>3</v>
      </c>
      <c r="H170" s="4">
        <v>0.8</v>
      </c>
      <c r="I170" t="s">
        <v>33</v>
      </c>
      <c r="J170" t="s">
        <v>33</v>
      </c>
      <c r="L170">
        <f t="shared" si="4"/>
        <v>2019</v>
      </c>
      <c r="M170" t="str">
        <f t="shared" si="5"/>
        <v>Pre-COVID</v>
      </c>
    </row>
    <row r="171" spans="1:13" x14ac:dyDescent="0.25">
      <c r="A171" s="2">
        <v>43563</v>
      </c>
      <c r="B171" t="s">
        <v>32</v>
      </c>
      <c r="C171">
        <v>20</v>
      </c>
      <c r="D171" s="3">
        <v>6.94</v>
      </c>
      <c r="E171" s="3">
        <v>138.80000000000001</v>
      </c>
      <c r="F171">
        <v>30</v>
      </c>
      <c r="G171">
        <v>10</v>
      </c>
      <c r="H171" s="4">
        <v>0.6</v>
      </c>
      <c r="I171" t="s">
        <v>33</v>
      </c>
      <c r="J171" t="s">
        <v>33</v>
      </c>
      <c r="L171">
        <f t="shared" si="4"/>
        <v>2019</v>
      </c>
      <c r="M171" t="str">
        <f t="shared" si="5"/>
        <v>Pre-COVID</v>
      </c>
    </row>
    <row r="172" spans="1:13" x14ac:dyDescent="0.25">
      <c r="A172" s="2">
        <v>43563</v>
      </c>
      <c r="B172" t="s">
        <v>34</v>
      </c>
      <c r="C172">
        <v>13</v>
      </c>
      <c r="D172" s="3">
        <v>6.87</v>
      </c>
      <c r="E172" s="3">
        <v>89.31</v>
      </c>
      <c r="F172">
        <v>15</v>
      </c>
      <c r="G172">
        <v>4</v>
      </c>
      <c r="H172" s="4">
        <v>0.7</v>
      </c>
      <c r="I172" t="s">
        <v>33</v>
      </c>
      <c r="J172" t="s">
        <v>33</v>
      </c>
      <c r="L172">
        <f t="shared" si="4"/>
        <v>2019</v>
      </c>
      <c r="M172" t="str">
        <f t="shared" si="5"/>
        <v>Pre-COVID</v>
      </c>
    </row>
    <row r="173" spans="1:13" x14ac:dyDescent="0.25">
      <c r="A173" s="2">
        <v>43563</v>
      </c>
      <c r="B173" t="s">
        <v>35</v>
      </c>
      <c r="C173">
        <v>10</v>
      </c>
      <c r="D173" s="3">
        <v>5.82</v>
      </c>
      <c r="E173" s="3">
        <v>58.2</v>
      </c>
      <c r="F173">
        <v>12</v>
      </c>
      <c r="G173">
        <v>2</v>
      </c>
      <c r="H173" s="4">
        <v>0.5</v>
      </c>
      <c r="I173" t="s">
        <v>33</v>
      </c>
      <c r="J173" t="s">
        <v>33</v>
      </c>
      <c r="L173">
        <f t="shared" si="4"/>
        <v>2019</v>
      </c>
      <c r="M173" t="str">
        <f t="shared" si="5"/>
        <v>Pre-COVID</v>
      </c>
    </row>
    <row r="174" spans="1:13" x14ac:dyDescent="0.25">
      <c r="A174" s="2">
        <v>43563</v>
      </c>
      <c r="B174" t="s">
        <v>36</v>
      </c>
      <c r="C174">
        <v>7</v>
      </c>
      <c r="D174" s="3">
        <v>6.49</v>
      </c>
      <c r="E174" s="3">
        <v>45.43</v>
      </c>
      <c r="F174">
        <v>8</v>
      </c>
      <c r="G174">
        <v>2</v>
      </c>
      <c r="H174" s="4">
        <v>1.4</v>
      </c>
      <c r="I174" t="s">
        <v>33</v>
      </c>
      <c r="J174" t="s">
        <v>33</v>
      </c>
      <c r="L174">
        <f t="shared" si="4"/>
        <v>2019</v>
      </c>
      <c r="M174" t="str">
        <f t="shared" si="5"/>
        <v>Pre-COVID</v>
      </c>
    </row>
    <row r="175" spans="1:13" x14ac:dyDescent="0.25">
      <c r="A175" s="2">
        <v>43563</v>
      </c>
      <c r="B175" t="s">
        <v>37</v>
      </c>
      <c r="C175">
        <v>33</v>
      </c>
      <c r="D175" s="3">
        <v>3.26</v>
      </c>
      <c r="E175" s="3">
        <v>107.58</v>
      </c>
      <c r="F175">
        <v>49</v>
      </c>
      <c r="G175">
        <v>19</v>
      </c>
      <c r="H175" s="4">
        <v>0.6</v>
      </c>
      <c r="I175" t="s">
        <v>33</v>
      </c>
      <c r="J175" t="s">
        <v>33</v>
      </c>
      <c r="L175">
        <f t="shared" si="4"/>
        <v>2019</v>
      </c>
      <c r="M175" t="str">
        <f t="shared" si="5"/>
        <v>Pre-COVID</v>
      </c>
    </row>
    <row r="176" spans="1:13" x14ac:dyDescent="0.25">
      <c r="A176" s="2">
        <v>43563</v>
      </c>
      <c r="B176" t="s">
        <v>38</v>
      </c>
      <c r="C176">
        <v>15</v>
      </c>
      <c r="D176" s="3">
        <v>8.18</v>
      </c>
      <c r="E176" s="3">
        <v>122.7</v>
      </c>
      <c r="F176">
        <v>24</v>
      </c>
      <c r="G176">
        <v>13</v>
      </c>
      <c r="H176" s="4">
        <v>1</v>
      </c>
      <c r="I176" t="s">
        <v>33</v>
      </c>
      <c r="J176" t="s">
        <v>33</v>
      </c>
      <c r="L176">
        <f t="shared" si="4"/>
        <v>2019</v>
      </c>
      <c r="M176" t="str">
        <f t="shared" si="5"/>
        <v>Pre-COVID</v>
      </c>
    </row>
    <row r="177" spans="1:13" x14ac:dyDescent="0.25">
      <c r="A177" s="2">
        <v>43563</v>
      </c>
      <c r="B177" t="s">
        <v>39</v>
      </c>
      <c r="C177">
        <v>20</v>
      </c>
      <c r="D177" s="3">
        <v>11.14</v>
      </c>
      <c r="E177" s="3">
        <v>222.8</v>
      </c>
      <c r="F177">
        <v>29</v>
      </c>
      <c r="G177">
        <v>14</v>
      </c>
      <c r="H177" s="4">
        <v>0.5</v>
      </c>
      <c r="I177" t="s">
        <v>33</v>
      </c>
      <c r="J177" t="s">
        <v>33</v>
      </c>
      <c r="L177">
        <f t="shared" si="4"/>
        <v>2019</v>
      </c>
      <c r="M177" t="str">
        <f t="shared" si="5"/>
        <v>Pre-COVID</v>
      </c>
    </row>
    <row r="178" spans="1:13" x14ac:dyDescent="0.25">
      <c r="A178" s="2">
        <v>43563</v>
      </c>
      <c r="B178" t="s">
        <v>40</v>
      </c>
      <c r="C178">
        <v>8</v>
      </c>
      <c r="D178" s="3">
        <v>0.64</v>
      </c>
      <c r="E178" s="3">
        <v>5.12</v>
      </c>
      <c r="F178">
        <v>9</v>
      </c>
      <c r="G178">
        <v>2</v>
      </c>
      <c r="H178" s="4">
        <v>0.4</v>
      </c>
      <c r="I178" t="s">
        <v>33</v>
      </c>
      <c r="J178" t="s">
        <v>33</v>
      </c>
      <c r="L178">
        <f t="shared" si="4"/>
        <v>2019</v>
      </c>
      <c r="M178" t="str">
        <f t="shared" si="5"/>
        <v>Pre-COVID</v>
      </c>
    </row>
    <row r="179" spans="1:13" x14ac:dyDescent="0.25">
      <c r="A179" s="2">
        <v>43563</v>
      </c>
      <c r="B179" t="s">
        <v>41</v>
      </c>
      <c r="C179">
        <v>6</v>
      </c>
      <c r="D179" s="3">
        <v>1.33</v>
      </c>
      <c r="E179" s="3">
        <v>7.98</v>
      </c>
      <c r="F179">
        <v>8</v>
      </c>
      <c r="G179">
        <v>3</v>
      </c>
      <c r="H179" s="4">
        <v>0.1</v>
      </c>
      <c r="I179" t="s">
        <v>33</v>
      </c>
      <c r="J179" t="s">
        <v>33</v>
      </c>
      <c r="L179">
        <f t="shared" si="4"/>
        <v>2019</v>
      </c>
      <c r="M179" t="str">
        <f t="shared" si="5"/>
        <v>Pre-COVID</v>
      </c>
    </row>
    <row r="180" spans="1:13" x14ac:dyDescent="0.25">
      <c r="A180" s="2">
        <v>43563</v>
      </c>
      <c r="B180" t="s">
        <v>42</v>
      </c>
      <c r="C180">
        <v>7</v>
      </c>
      <c r="D180" s="3">
        <v>4.22</v>
      </c>
      <c r="E180" s="3">
        <v>29.54</v>
      </c>
      <c r="F180">
        <v>9</v>
      </c>
      <c r="G180">
        <v>3</v>
      </c>
      <c r="H180" s="4">
        <v>1.3</v>
      </c>
      <c r="I180" t="s">
        <v>33</v>
      </c>
      <c r="J180" t="s">
        <v>33</v>
      </c>
      <c r="L180">
        <f t="shared" si="4"/>
        <v>2019</v>
      </c>
      <c r="M180" t="str">
        <f t="shared" si="5"/>
        <v>Pre-COVID</v>
      </c>
    </row>
    <row r="181" spans="1:13" x14ac:dyDescent="0.25">
      <c r="A181" s="2">
        <v>43563</v>
      </c>
      <c r="B181" t="s">
        <v>43</v>
      </c>
      <c r="C181">
        <v>3</v>
      </c>
      <c r="D181" s="3">
        <v>5.49</v>
      </c>
      <c r="E181" s="3">
        <v>16.47</v>
      </c>
      <c r="F181">
        <v>4</v>
      </c>
      <c r="G181">
        <v>1</v>
      </c>
      <c r="H181" s="4">
        <v>0.6</v>
      </c>
      <c r="I181" t="s">
        <v>33</v>
      </c>
      <c r="J181" t="s">
        <v>33</v>
      </c>
      <c r="L181">
        <f t="shared" si="4"/>
        <v>2019</v>
      </c>
      <c r="M181" t="str">
        <f t="shared" si="5"/>
        <v>Pre-COVID</v>
      </c>
    </row>
    <row r="182" spans="1:13" x14ac:dyDescent="0.25">
      <c r="A182" s="2">
        <v>43563</v>
      </c>
      <c r="B182" t="s">
        <v>44</v>
      </c>
      <c r="C182">
        <v>0</v>
      </c>
      <c r="D182" s="3">
        <v>5.0199999999999996</v>
      </c>
      <c r="E182" s="3">
        <v>0</v>
      </c>
      <c r="F182">
        <v>3</v>
      </c>
      <c r="G182">
        <v>3</v>
      </c>
      <c r="H182" s="4">
        <v>1.7</v>
      </c>
      <c r="I182" t="s">
        <v>33</v>
      </c>
      <c r="J182" t="s">
        <v>33</v>
      </c>
      <c r="L182">
        <f t="shared" si="4"/>
        <v>2019</v>
      </c>
      <c r="M182" t="str">
        <f t="shared" si="5"/>
        <v>Pre-COVID</v>
      </c>
    </row>
    <row r="183" spans="1:13" x14ac:dyDescent="0.25">
      <c r="A183" s="2">
        <v>43563</v>
      </c>
      <c r="B183" t="s">
        <v>45</v>
      </c>
      <c r="C183">
        <v>1</v>
      </c>
      <c r="D183" s="3">
        <v>14.46</v>
      </c>
      <c r="E183" s="3">
        <v>14.46</v>
      </c>
      <c r="F183">
        <v>3</v>
      </c>
      <c r="G183">
        <v>2</v>
      </c>
      <c r="H183" s="4">
        <v>0</v>
      </c>
      <c r="I183" t="s">
        <v>46</v>
      </c>
      <c r="J183" t="s">
        <v>33</v>
      </c>
      <c r="L183">
        <f t="shared" si="4"/>
        <v>2019</v>
      </c>
      <c r="M183" t="str">
        <f t="shared" si="5"/>
        <v>Pre-COVID</v>
      </c>
    </row>
    <row r="184" spans="1:13" x14ac:dyDescent="0.25">
      <c r="A184" s="2">
        <v>43570</v>
      </c>
      <c r="B184" t="s">
        <v>32</v>
      </c>
      <c r="C184">
        <v>17</v>
      </c>
      <c r="D184" s="3">
        <v>7.08</v>
      </c>
      <c r="E184" s="3">
        <v>120.36</v>
      </c>
      <c r="F184">
        <v>21</v>
      </c>
      <c r="G184">
        <v>7</v>
      </c>
      <c r="H184" s="4">
        <v>0.9</v>
      </c>
      <c r="I184" t="s">
        <v>33</v>
      </c>
      <c r="J184" t="s">
        <v>33</v>
      </c>
      <c r="L184">
        <f t="shared" si="4"/>
        <v>2019</v>
      </c>
      <c r="M184" t="str">
        <f t="shared" si="5"/>
        <v>Pre-COVID</v>
      </c>
    </row>
    <row r="185" spans="1:13" x14ac:dyDescent="0.25">
      <c r="A185" s="2">
        <v>43570</v>
      </c>
      <c r="B185" t="s">
        <v>34</v>
      </c>
      <c r="C185">
        <v>16</v>
      </c>
      <c r="D185" s="3">
        <v>7</v>
      </c>
      <c r="E185" s="3">
        <v>112</v>
      </c>
      <c r="F185">
        <v>22</v>
      </c>
      <c r="G185">
        <v>7</v>
      </c>
      <c r="H185" s="4">
        <v>1.6</v>
      </c>
      <c r="I185" t="s">
        <v>33</v>
      </c>
      <c r="J185" t="s">
        <v>33</v>
      </c>
      <c r="L185">
        <f t="shared" si="4"/>
        <v>2019</v>
      </c>
      <c r="M185" t="str">
        <f t="shared" si="5"/>
        <v>Pre-COVID</v>
      </c>
    </row>
    <row r="186" spans="1:13" x14ac:dyDescent="0.25">
      <c r="A186" s="2">
        <v>43570</v>
      </c>
      <c r="B186" t="s">
        <v>35</v>
      </c>
      <c r="C186">
        <v>8</v>
      </c>
      <c r="D186" s="3">
        <v>5.75</v>
      </c>
      <c r="E186" s="3">
        <v>46</v>
      </c>
      <c r="F186">
        <v>10</v>
      </c>
      <c r="G186">
        <v>3</v>
      </c>
      <c r="H186" s="4">
        <v>1.3</v>
      </c>
      <c r="I186" t="s">
        <v>33</v>
      </c>
      <c r="J186" t="s">
        <v>33</v>
      </c>
      <c r="L186">
        <f t="shared" si="4"/>
        <v>2019</v>
      </c>
      <c r="M186" t="str">
        <f t="shared" si="5"/>
        <v>Pre-COVID</v>
      </c>
    </row>
    <row r="187" spans="1:13" x14ac:dyDescent="0.25">
      <c r="A187" s="2">
        <v>43570</v>
      </c>
      <c r="B187" t="s">
        <v>36</v>
      </c>
      <c r="C187">
        <v>8</v>
      </c>
      <c r="D187" s="3">
        <v>6.09</v>
      </c>
      <c r="E187" s="3">
        <v>48.72</v>
      </c>
      <c r="F187">
        <v>9</v>
      </c>
      <c r="G187">
        <v>2</v>
      </c>
      <c r="H187" s="4">
        <v>1.1000000000000001</v>
      </c>
      <c r="I187" t="s">
        <v>33</v>
      </c>
      <c r="J187" t="s">
        <v>33</v>
      </c>
      <c r="L187">
        <f t="shared" si="4"/>
        <v>2019</v>
      </c>
      <c r="M187" t="str">
        <f t="shared" si="5"/>
        <v>Pre-COVID</v>
      </c>
    </row>
    <row r="188" spans="1:13" x14ac:dyDescent="0.25">
      <c r="A188" s="2">
        <v>43570</v>
      </c>
      <c r="B188" t="s">
        <v>37</v>
      </c>
      <c r="C188">
        <v>25</v>
      </c>
      <c r="D188" s="3">
        <v>3.36</v>
      </c>
      <c r="E188" s="3">
        <v>84</v>
      </c>
      <c r="F188">
        <v>27</v>
      </c>
      <c r="G188">
        <v>2</v>
      </c>
      <c r="H188" s="4">
        <v>0.5</v>
      </c>
      <c r="I188" t="s">
        <v>33</v>
      </c>
      <c r="J188" t="s">
        <v>33</v>
      </c>
      <c r="L188">
        <f t="shared" si="4"/>
        <v>2019</v>
      </c>
      <c r="M188" t="str">
        <f t="shared" si="5"/>
        <v>Pre-COVID</v>
      </c>
    </row>
    <row r="189" spans="1:13" x14ac:dyDescent="0.25">
      <c r="A189" s="2">
        <v>43570</v>
      </c>
      <c r="B189" t="s">
        <v>38</v>
      </c>
      <c r="C189">
        <v>11</v>
      </c>
      <c r="D189" s="3">
        <v>8.4600000000000009</v>
      </c>
      <c r="E189" s="3">
        <v>93.06</v>
      </c>
      <c r="F189">
        <v>13</v>
      </c>
      <c r="G189">
        <v>4</v>
      </c>
      <c r="H189" s="4">
        <v>1.3</v>
      </c>
      <c r="I189" t="s">
        <v>33</v>
      </c>
      <c r="J189" t="s">
        <v>33</v>
      </c>
      <c r="L189">
        <f t="shared" si="4"/>
        <v>2019</v>
      </c>
      <c r="M189" t="str">
        <f t="shared" si="5"/>
        <v>Pre-COVID</v>
      </c>
    </row>
    <row r="190" spans="1:13" x14ac:dyDescent="0.25">
      <c r="A190" s="2">
        <v>43570</v>
      </c>
      <c r="B190" t="s">
        <v>39</v>
      </c>
      <c r="C190">
        <v>23</v>
      </c>
      <c r="D190" s="3">
        <v>11.62</v>
      </c>
      <c r="E190" s="3">
        <v>267.26</v>
      </c>
      <c r="F190">
        <v>29</v>
      </c>
      <c r="G190">
        <v>10</v>
      </c>
      <c r="H190" s="4">
        <v>0.6</v>
      </c>
      <c r="I190" t="s">
        <v>33</v>
      </c>
      <c r="J190" t="s">
        <v>33</v>
      </c>
      <c r="L190">
        <f t="shared" si="4"/>
        <v>2019</v>
      </c>
      <c r="M190" t="str">
        <f t="shared" si="5"/>
        <v>Pre-COVID</v>
      </c>
    </row>
    <row r="191" spans="1:13" x14ac:dyDescent="0.25">
      <c r="A191" s="2">
        <v>43570</v>
      </c>
      <c r="B191" t="s">
        <v>40</v>
      </c>
      <c r="C191">
        <v>9</v>
      </c>
      <c r="D191" s="3">
        <v>0.63</v>
      </c>
      <c r="E191" s="3">
        <v>5.67</v>
      </c>
      <c r="F191">
        <v>11</v>
      </c>
      <c r="G191">
        <v>3</v>
      </c>
      <c r="H191" s="4">
        <v>1.3</v>
      </c>
      <c r="I191" t="s">
        <v>33</v>
      </c>
      <c r="J191" t="s">
        <v>33</v>
      </c>
      <c r="L191">
        <f t="shared" si="4"/>
        <v>2019</v>
      </c>
      <c r="M191" t="str">
        <f t="shared" si="5"/>
        <v>Pre-COVID</v>
      </c>
    </row>
    <row r="192" spans="1:13" x14ac:dyDescent="0.25">
      <c r="A192" s="2">
        <v>43570</v>
      </c>
      <c r="B192" t="s">
        <v>41</v>
      </c>
      <c r="C192">
        <v>6</v>
      </c>
      <c r="D192" s="3">
        <v>1.31</v>
      </c>
      <c r="E192" s="3">
        <v>7.86</v>
      </c>
      <c r="F192">
        <v>6</v>
      </c>
      <c r="G192">
        <v>1</v>
      </c>
      <c r="H192" s="4">
        <v>0.7</v>
      </c>
      <c r="I192" t="s">
        <v>33</v>
      </c>
      <c r="J192" t="s">
        <v>33</v>
      </c>
      <c r="L192">
        <f t="shared" si="4"/>
        <v>2019</v>
      </c>
      <c r="M192" t="str">
        <f t="shared" si="5"/>
        <v>Pre-COVID</v>
      </c>
    </row>
    <row r="193" spans="1:13" x14ac:dyDescent="0.25">
      <c r="A193" s="2">
        <v>43570</v>
      </c>
      <c r="B193" t="s">
        <v>42</v>
      </c>
      <c r="C193">
        <v>5</v>
      </c>
      <c r="D193" s="3">
        <v>4.2300000000000004</v>
      </c>
      <c r="E193" s="3">
        <v>21.15</v>
      </c>
      <c r="F193">
        <v>6</v>
      </c>
      <c r="G193">
        <v>2</v>
      </c>
      <c r="H193" s="4">
        <v>0.5</v>
      </c>
      <c r="I193" t="s">
        <v>33</v>
      </c>
      <c r="J193" t="s">
        <v>33</v>
      </c>
      <c r="L193">
        <f t="shared" si="4"/>
        <v>2019</v>
      </c>
      <c r="M193" t="str">
        <f t="shared" si="5"/>
        <v>Pre-COVID</v>
      </c>
    </row>
    <row r="194" spans="1:13" x14ac:dyDescent="0.25">
      <c r="A194" s="2">
        <v>43570</v>
      </c>
      <c r="B194" t="s">
        <v>43</v>
      </c>
      <c r="C194">
        <v>5</v>
      </c>
      <c r="D194" s="3">
        <v>5.38</v>
      </c>
      <c r="E194" s="3">
        <v>26.9</v>
      </c>
      <c r="F194">
        <v>7</v>
      </c>
      <c r="G194">
        <v>3</v>
      </c>
      <c r="H194" s="4">
        <v>1.3</v>
      </c>
      <c r="I194" t="s">
        <v>33</v>
      </c>
      <c r="J194" t="s">
        <v>33</v>
      </c>
      <c r="L194">
        <f t="shared" ref="L194:L257" si="6">YEAR(A194)</f>
        <v>2019</v>
      </c>
      <c r="M194" t="str">
        <f t="shared" ref="M194:M257" si="7">IF(L194=2019,"Pre-COVID","COVID Period")</f>
        <v>Pre-COVID</v>
      </c>
    </row>
    <row r="195" spans="1:13" x14ac:dyDescent="0.25">
      <c r="A195" s="2">
        <v>43570</v>
      </c>
      <c r="B195" t="s">
        <v>44</v>
      </c>
      <c r="C195">
        <v>1</v>
      </c>
      <c r="D195" s="3">
        <v>4.92</v>
      </c>
      <c r="E195" s="3">
        <v>4.92</v>
      </c>
      <c r="F195">
        <v>3</v>
      </c>
      <c r="G195">
        <v>2</v>
      </c>
      <c r="H195" s="4">
        <v>1.1000000000000001</v>
      </c>
      <c r="I195" t="s">
        <v>46</v>
      </c>
      <c r="J195" t="s">
        <v>33</v>
      </c>
      <c r="K195" t="s">
        <v>47</v>
      </c>
      <c r="L195">
        <f t="shared" si="6"/>
        <v>2019</v>
      </c>
      <c r="M195" t="str">
        <f t="shared" si="7"/>
        <v>Pre-COVID</v>
      </c>
    </row>
    <row r="196" spans="1:13" x14ac:dyDescent="0.25">
      <c r="A196" s="2">
        <v>43570</v>
      </c>
      <c r="B196" t="s">
        <v>45</v>
      </c>
      <c r="C196">
        <v>0</v>
      </c>
      <c r="D196" s="3">
        <v>14.47</v>
      </c>
      <c r="E196" s="3">
        <v>0</v>
      </c>
      <c r="F196">
        <v>3</v>
      </c>
      <c r="G196">
        <v>3</v>
      </c>
      <c r="H196" s="4">
        <v>1.6</v>
      </c>
      <c r="I196" t="s">
        <v>33</v>
      </c>
      <c r="J196" t="s">
        <v>33</v>
      </c>
      <c r="L196">
        <f t="shared" si="6"/>
        <v>2019</v>
      </c>
      <c r="M196" t="str">
        <f t="shared" si="7"/>
        <v>Pre-COVID</v>
      </c>
    </row>
    <row r="197" spans="1:13" x14ac:dyDescent="0.25">
      <c r="A197" s="2">
        <v>43577</v>
      </c>
      <c r="B197" t="s">
        <v>32</v>
      </c>
      <c r="C197">
        <v>15</v>
      </c>
      <c r="D197" s="3">
        <v>6.76</v>
      </c>
      <c r="E197" s="3">
        <v>101.4</v>
      </c>
      <c r="F197">
        <v>21</v>
      </c>
      <c r="G197">
        <v>7</v>
      </c>
      <c r="H197" s="4">
        <v>1.8</v>
      </c>
      <c r="I197" t="s">
        <v>33</v>
      </c>
      <c r="J197" t="s">
        <v>33</v>
      </c>
      <c r="L197">
        <f t="shared" si="6"/>
        <v>2019</v>
      </c>
      <c r="M197" t="str">
        <f t="shared" si="7"/>
        <v>Pre-COVID</v>
      </c>
    </row>
    <row r="198" spans="1:13" x14ac:dyDescent="0.25">
      <c r="A198" s="2">
        <v>43577</v>
      </c>
      <c r="B198" t="s">
        <v>34</v>
      </c>
      <c r="C198">
        <v>15</v>
      </c>
      <c r="D198" s="3">
        <v>7.14</v>
      </c>
      <c r="E198" s="3">
        <v>107.1</v>
      </c>
      <c r="F198">
        <v>21</v>
      </c>
      <c r="G198">
        <v>8</v>
      </c>
      <c r="H198" s="4">
        <v>0.2</v>
      </c>
      <c r="I198" t="s">
        <v>33</v>
      </c>
      <c r="J198" t="s">
        <v>33</v>
      </c>
      <c r="L198">
        <f t="shared" si="6"/>
        <v>2019</v>
      </c>
      <c r="M198" t="str">
        <f t="shared" si="7"/>
        <v>Pre-COVID</v>
      </c>
    </row>
    <row r="199" spans="1:13" x14ac:dyDescent="0.25">
      <c r="A199" s="2">
        <v>43577</v>
      </c>
      <c r="B199" t="s">
        <v>35</v>
      </c>
      <c r="C199">
        <v>9</v>
      </c>
      <c r="D199" s="3">
        <v>6.03</v>
      </c>
      <c r="E199" s="3">
        <v>54.27</v>
      </c>
      <c r="F199">
        <v>10</v>
      </c>
      <c r="G199">
        <v>1</v>
      </c>
      <c r="H199" s="4">
        <v>0.7</v>
      </c>
      <c r="I199" t="s">
        <v>33</v>
      </c>
      <c r="J199" t="s">
        <v>33</v>
      </c>
      <c r="L199">
        <f t="shared" si="6"/>
        <v>2019</v>
      </c>
      <c r="M199" t="str">
        <f t="shared" si="7"/>
        <v>Pre-COVID</v>
      </c>
    </row>
    <row r="200" spans="1:13" x14ac:dyDescent="0.25">
      <c r="A200" s="2">
        <v>43577</v>
      </c>
      <c r="B200" t="s">
        <v>36</v>
      </c>
      <c r="C200">
        <v>11</v>
      </c>
      <c r="D200" s="3">
        <v>6.17</v>
      </c>
      <c r="E200" s="3">
        <v>67.87</v>
      </c>
      <c r="F200">
        <v>16</v>
      </c>
      <c r="G200">
        <v>6</v>
      </c>
      <c r="H200" s="4">
        <v>1</v>
      </c>
      <c r="I200" t="s">
        <v>33</v>
      </c>
      <c r="J200" t="s">
        <v>33</v>
      </c>
      <c r="L200">
        <f t="shared" si="6"/>
        <v>2019</v>
      </c>
      <c r="M200" t="str">
        <f t="shared" si="7"/>
        <v>Pre-COVID</v>
      </c>
    </row>
    <row r="201" spans="1:13" x14ac:dyDescent="0.25">
      <c r="A201" s="2">
        <v>43577</v>
      </c>
      <c r="B201" t="s">
        <v>37</v>
      </c>
      <c r="C201">
        <v>26</v>
      </c>
      <c r="D201" s="3">
        <v>3.29</v>
      </c>
      <c r="E201" s="3">
        <v>85.54</v>
      </c>
      <c r="F201">
        <v>35</v>
      </c>
      <c r="G201">
        <v>11</v>
      </c>
      <c r="H201" s="4">
        <v>0.2</v>
      </c>
      <c r="I201" t="s">
        <v>33</v>
      </c>
      <c r="J201" t="s">
        <v>33</v>
      </c>
      <c r="L201">
        <f t="shared" si="6"/>
        <v>2019</v>
      </c>
      <c r="M201" t="str">
        <f t="shared" si="7"/>
        <v>Pre-COVID</v>
      </c>
    </row>
    <row r="202" spans="1:13" x14ac:dyDescent="0.25">
      <c r="A202" s="2">
        <v>43577</v>
      </c>
      <c r="B202" t="s">
        <v>38</v>
      </c>
      <c r="C202">
        <v>13</v>
      </c>
      <c r="D202" s="3">
        <v>8.3000000000000007</v>
      </c>
      <c r="E202" s="3">
        <v>107.9</v>
      </c>
      <c r="F202">
        <v>14</v>
      </c>
      <c r="G202">
        <v>3</v>
      </c>
      <c r="H202" s="4">
        <v>0</v>
      </c>
      <c r="I202" t="s">
        <v>33</v>
      </c>
      <c r="J202" t="s">
        <v>33</v>
      </c>
      <c r="L202">
        <f t="shared" si="6"/>
        <v>2019</v>
      </c>
      <c r="M202" t="str">
        <f t="shared" si="7"/>
        <v>Pre-COVID</v>
      </c>
    </row>
    <row r="203" spans="1:13" x14ac:dyDescent="0.25">
      <c r="A203" s="2">
        <v>43577</v>
      </c>
      <c r="B203" t="s">
        <v>39</v>
      </c>
      <c r="C203">
        <v>14</v>
      </c>
      <c r="D203" s="3">
        <v>11.51</v>
      </c>
      <c r="E203" s="3">
        <v>161.13999999999999</v>
      </c>
      <c r="F203">
        <v>18</v>
      </c>
      <c r="G203">
        <v>6</v>
      </c>
      <c r="H203" s="4">
        <v>0.8</v>
      </c>
      <c r="I203" t="s">
        <v>33</v>
      </c>
      <c r="J203" t="s">
        <v>33</v>
      </c>
      <c r="L203">
        <f t="shared" si="6"/>
        <v>2019</v>
      </c>
      <c r="M203" t="str">
        <f t="shared" si="7"/>
        <v>Pre-COVID</v>
      </c>
    </row>
    <row r="204" spans="1:13" x14ac:dyDescent="0.25">
      <c r="A204" s="2">
        <v>43577</v>
      </c>
      <c r="B204" t="s">
        <v>40</v>
      </c>
      <c r="C204">
        <v>8</v>
      </c>
      <c r="D204" s="3">
        <v>0.66</v>
      </c>
      <c r="E204" s="3">
        <v>5.28</v>
      </c>
      <c r="F204">
        <v>13</v>
      </c>
      <c r="G204">
        <v>5</v>
      </c>
      <c r="H204" s="4">
        <v>1.3</v>
      </c>
      <c r="I204" t="s">
        <v>33</v>
      </c>
      <c r="J204" t="s">
        <v>33</v>
      </c>
      <c r="L204">
        <f t="shared" si="6"/>
        <v>2019</v>
      </c>
      <c r="M204" t="str">
        <f t="shared" si="7"/>
        <v>Pre-COVID</v>
      </c>
    </row>
    <row r="205" spans="1:13" x14ac:dyDescent="0.25">
      <c r="A205" s="2">
        <v>43577</v>
      </c>
      <c r="B205" t="s">
        <v>41</v>
      </c>
      <c r="C205">
        <v>7</v>
      </c>
      <c r="D205" s="3">
        <v>1.36</v>
      </c>
      <c r="E205" s="3">
        <v>9.52</v>
      </c>
      <c r="F205">
        <v>9</v>
      </c>
      <c r="G205">
        <v>2</v>
      </c>
      <c r="H205" s="4">
        <v>0.9</v>
      </c>
      <c r="I205" t="s">
        <v>33</v>
      </c>
      <c r="J205" t="s">
        <v>33</v>
      </c>
      <c r="L205">
        <f t="shared" si="6"/>
        <v>2019</v>
      </c>
      <c r="M205" t="str">
        <f t="shared" si="7"/>
        <v>Pre-COVID</v>
      </c>
    </row>
    <row r="206" spans="1:13" x14ac:dyDescent="0.25">
      <c r="A206" s="2">
        <v>43577</v>
      </c>
      <c r="B206" t="s">
        <v>42</v>
      </c>
      <c r="C206">
        <v>6</v>
      </c>
      <c r="D206" s="3">
        <v>4.0999999999999996</v>
      </c>
      <c r="E206" s="3">
        <v>24.6</v>
      </c>
      <c r="F206">
        <v>9</v>
      </c>
      <c r="G206">
        <v>3</v>
      </c>
      <c r="H206" s="4">
        <v>1</v>
      </c>
      <c r="I206" t="s">
        <v>33</v>
      </c>
      <c r="J206" t="s">
        <v>33</v>
      </c>
      <c r="L206">
        <f t="shared" si="6"/>
        <v>2019</v>
      </c>
      <c r="M206" t="str">
        <f t="shared" si="7"/>
        <v>Pre-COVID</v>
      </c>
    </row>
    <row r="207" spans="1:13" x14ac:dyDescent="0.25">
      <c r="A207" s="2">
        <v>43577</v>
      </c>
      <c r="B207" t="s">
        <v>43</v>
      </c>
      <c r="C207">
        <v>5</v>
      </c>
      <c r="D207" s="3">
        <v>5.5</v>
      </c>
      <c r="E207" s="3">
        <v>27.5</v>
      </c>
      <c r="F207">
        <v>6</v>
      </c>
      <c r="G207">
        <v>2</v>
      </c>
      <c r="H207" s="4">
        <v>1.6</v>
      </c>
      <c r="I207" t="s">
        <v>33</v>
      </c>
      <c r="J207" t="s">
        <v>33</v>
      </c>
      <c r="L207">
        <f t="shared" si="6"/>
        <v>2019</v>
      </c>
      <c r="M207" t="str">
        <f t="shared" si="7"/>
        <v>Pre-COVID</v>
      </c>
    </row>
    <row r="208" spans="1:13" x14ac:dyDescent="0.25">
      <c r="A208" s="2">
        <v>43577</v>
      </c>
      <c r="B208" t="s">
        <v>44</v>
      </c>
      <c r="C208">
        <v>0</v>
      </c>
      <c r="D208" s="3">
        <v>4.87</v>
      </c>
      <c r="E208" s="3">
        <v>0</v>
      </c>
      <c r="F208">
        <v>3</v>
      </c>
      <c r="G208">
        <v>3</v>
      </c>
      <c r="H208" s="4">
        <v>0.7</v>
      </c>
      <c r="I208" t="s">
        <v>33</v>
      </c>
      <c r="J208" t="s">
        <v>33</v>
      </c>
      <c r="L208">
        <f t="shared" si="6"/>
        <v>2019</v>
      </c>
      <c r="M208" t="str">
        <f t="shared" si="7"/>
        <v>Pre-COVID</v>
      </c>
    </row>
    <row r="209" spans="1:13" x14ac:dyDescent="0.25">
      <c r="A209" s="2">
        <v>43577</v>
      </c>
      <c r="B209" t="s">
        <v>45</v>
      </c>
      <c r="C209">
        <v>1</v>
      </c>
      <c r="D209" s="3">
        <v>15.01</v>
      </c>
      <c r="E209" s="3">
        <v>15.01</v>
      </c>
      <c r="F209">
        <v>3</v>
      </c>
      <c r="G209">
        <v>2</v>
      </c>
      <c r="H209" s="4">
        <v>0.8</v>
      </c>
      <c r="I209" t="s">
        <v>46</v>
      </c>
      <c r="J209" t="s">
        <v>33</v>
      </c>
      <c r="L209">
        <f t="shared" si="6"/>
        <v>2019</v>
      </c>
      <c r="M209" t="str">
        <f t="shared" si="7"/>
        <v>Pre-COVID</v>
      </c>
    </row>
    <row r="210" spans="1:13" x14ac:dyDescent="0.25">
      <c r="A210" s="2">
        <v>43584</v>
      </c>
      <c r="B210" t="s">
        <v>32</v>
      </c>
      <c r="C210">
        <v>14</v>
      </c>
      <c r="D210" s="3">
        <v>6.78</v>
      </c>
      <c r="E210" s="3">
        <v>94.92</v>
      </c>
      <c r="F210">
        <v>17</v>
      </c>
      <c r="G210">
        <v>4</v>
      </c>
      <c r="H210" s="4">
        <v>0.7</v>
      </c>
      <c r="I210" t="s">
        <v>33</v>
      </c>
      <c r="J210" t="s">
        <v>33</v>
      </c>
      <c r="L210">
        <f t="shared" si="6"/>
        <v>2019</v>
      </c>
      <c r="M210" t="str">
        <f t="shared" si="7"/>
        <v>Pre-COVID</v>
      </c>
    </row>
    <row r="211" spans="1:13" x14ac:dyDescent="0.25">
      <c r="A211" s="2">
        <v>43584</v>
      </c>
      <c r="B211" t="s">
        <v>34</v>
      </c>
      <c r="C211">
        <v>19</v>
      </c>
      <c r="D211" s="3">
        <v>7.19</v>
      </c>
      <c r="E211" s="3">
        <v>136.61000000000001</v>
      </c>
      <c r="F211">
        <v>28</v>
      </c>
      <c r="G211">
        <v>12</v>
      </c>
      <c r="H211" s="4">
        <v>0.8</v>
      </c>
      <c r="I211" t="s">
        <v>33</v>
      </c>
      <c r="J211" t="s">
        <v>33</v>
      </c>
      <c r="L211">
        <f t="shared" si="6"/>
        <v>2019</v>
      </c>
      <c r="M211" t="str">
        <f t="shared" si="7"/>
        <v>Pre-COVID</v>
      </c>
    </row>
    <row r="212" spans="1:13" x14ac:dyDescent="0.25">
      <c r="A212" s="2">
        <v>43584</v>
      </c>
      <c r="B212" t="s">
        <v>35</v>
      </c>
      <c r="C212">
        <v>8</v>
      </c>
      <c r="D212" s="3">
        <v>6</v>
      </c>
      <c r="E212" s="3">
        <v>48</v>
      </c>
      <c r="F212">
        <v>10</v>
      </c>
      <c r="G212">
        <v>3</v>
      </c>
      <c r="H212" s="4">
        <v>0</v>
      </c>
      <c r="I212" t="s">
        <v>33</v>
      </c>
      <c r="J212" t="s">
        <v>33</v>
      </c>
      <c r="L212">
        <f t="shared" si="6"/>
        <v>2019</v>
      </c>
      <c r="M212" t="str">
        <f t="shared" si="7"/>
        <v>Pre-COVID</v>
      </c>
    </row>
    <row r="213" spans="1:13" x14ac:dyDescent="0.25">
      <c r="A213" s="2">
        <v>43584</v>
      </c>
      <c r="B213" t="s">
        <v>36</v>
      </c>
      <c r="C213">
        <v>10</v>
      </c>
      <c r="D213" s="3">
        <v>6.37</v>
      </c>
      <c r="E213" s="3">
        <v>63.7</v>
      </c>
      <c r="F213">
        <v>13</v>
      </c>
      <c r="G213">
        <v>5</v>
      </c>
      <c r="H213" s="4">
        <v>1.5</v>
      </c>
      <c r="I213" t="s">
        <v>33</v>
      </c>
      <c r="J213" t="s">
        <v>33</v>
      </c>
      <c r="L213">
        <f t="shared" si="6"/>
        <v>2019</v>
      </c>
      <c r="M213" t="str">
        <f t="shared" si="7"/>
        <v>Pre-COVID</v>
      </c>
    </row>
    <row r="214" spans="1:13" x14ac:dyDescent="0.25">
      <c r="A214" s="2">
        <v>43584</v>
      </c>
      <c r="B214" t="s">
        <v>37</v>
      </c>
      <c r="C214">
        <v>22</v>
      </c>
      <c r="D214" s="3">
        <v>3.35</v>
      </c>
      <c r="E214" s="3">
        <v>73.7</v>
      </c>
      <c r="F214">
        <v>29</v>
      </c>
      <c r="G214">
        <v>7</v>
      </c>
      <c r="H214" s="4">
        <v>0</v>
      </c>
      <c r="I214" t="s">
        <v>33</v>
      </c>
      <c r="J214" t="s">
        <v>33</v>
      </c>
      <c r="L214">
        <f t="shared" si="6"/>
        <v>2019</v>
      </c>
      <c r="M214" t="str">
        <f t="shared" si="7"/>
        <v>Pre-COVID</v>
      </c>
    </row>
    <row r="215" spans="1:13" x14ac:dyDescent="0.25">
      <c r="A215" s="2">
        <v>43584</v>
      </c>
      <c r="B215" t="s">
        <v>38</v>
      </c>
      <c r="C215">
        <v>10</v>
      </c>
      <c r="D215" s="3">
        <v>8.7899999999999991</v>
      </c>
      <c r="E215" s="3">
        <v>87.9</v>
      </c>
      <c r="F215">
        <v>11</v>
      </c>
      <c r="G215">
        <v>2</v>
      </c>
      <c r="H215" s="4">
        <v>1.1000000000000001</v>
      </c>
      <c r="I215" t="s">
        <v>33</v>
      </c>
      <c r="J215" t="s">
        <v>33</v>
      </c>
      <c r="L215">
        <f t="shared" si="6"/>
        <v>2019</v>
      </c>
      <c r="M215" t="str">
        <f t="shared" si="7"/>
        <v>Pre-COVID</v>
      </c>
    </row>
    <row r="216" spans="1:13" x14ac:dyDescent="0.25">
      <c r="A216" s="2">
        <v>43584</v>
      </c>
      <c r="B216" t="s">
        <v>39</v>
      </c>
      <c r="C216">
        <v>15</v>
      </c>
      <c r="D216" s="3">
        <v>11.61</v>
      </c>
      <c r="E216" s="3">
        <v>174.15</v>
      </c>
      <c r="F216">
        <v>20</v>
      </c>
      <c r="G216">
        <v>7</v>
      </c>
      <c r="H216" s="4">
        <v>1.1000000000000001</v>
      </c>
      <c r="I216" t="s">
        <v>33</v>
      </c>
      <c r="J216" t="s">
        <v>33</v>
      </c>
      <c r="L216">
        <f t="shared" si="6"/>
        <v>2019</v>
      </c>
      <c r="M216" t="str">
        <f t="shared" si="7"/>
        <v>Pre-COVID</v>
      </c>
    </row>
    <row r="217" spans="1:13" x14ac:dyDescent="0.25">
      <c r="A217" s="2">
        <v>43584</v>
      </c>
      <c r="B217" t="s">
        <v>40</v>
      </c>
      <c r="C217">
        <v>7</v>
      </c>
      <c r="D217" s="3">
        <v>0.65</v>
      </c>
      <c r="E217" s="3">
        <v>4.55</v>
      </c>
      <c r="F217">
        <v>9</v>
      </c>
      <c r="G217">
        <v>3</v>
      </c>
      <c r="H217" s="4">
        <v>0.4</v>
      </c>
      <c r="I217" t="s">
        <v>33</v>
      </c>
      <c r="J217" t="s">
        <v>33</v>
      </c>
      <c r="L217">
        <f t="shared" si="6"/>
        <v>2019</v>
      </c>
      <c r="M217" t="str">
        <f t="shared" si="7"/>
        <v>Pre-COVID</v>
      </c>
    </row>
    <row r="218" spans="1:13" x14ac:dyDescent="0.25">
      <c r="A218" s="2">
        <v>43584</v>
      </c>
      <c r="B218" t="s">
        <v>41</v>
      </c>
      <c r="C218">
        <v>7</v>
      </c>
      <c r="D218" s="3">
        <v>1.33</v>
      </c>
      <c r="E218" s="3">
        <v>9.31</v>
      </c>
      <c r="F218">
        <v>10</v>
      </c>
      <c r="G218">
        <v>4</v>
      </c>
      <c r="H218" s="4">
        <v>0.6</v>
      </c>
      <c r="I218" t="s">
        <v>33</v>
      </c>
      <c r="J218" t="s">
        <v>33</v>
      </c>
      <c r="L218">
        <f t="shared" si="6"/>
        <v>2019</v>
      </c>
      <c r="M218" t="str">
        <f t="shared" si="7"/>
        <v>Pre-COVID</v>
      </c>
    </row>
    <row r="219" spans="1:13" x14ac:dyDescent="0.25">
      <c r="A219" s="2">
        <v>43584</v>
      </c>
      <c r="B219" t="s">
        <v>42</v>
      </c>
      <c r="C219">
        <v>10</v>
      </c>
      <c r="D219" s="3">
        <v>4.04</v>
      </c>
      <c r="E219" s="3">
        <v>40.4</v>
      </c>
      <c r="F219">
        <v>12</v>
      </c>
      <c r="G219">
        <v>4</v>
      </c>
      <c r="H219" s="4">
        <v>1.1000000000000001</v>
      </c>
      <c r="I219" t="s">
        <v>33</v>
      </c>
      <c r="J219" t="s">
        <v>33</v>
      </c>
      <c r="L219">
        <f t="shared" si="6"/>
        <v>2019</v>
      </c>
      <c r="M219" t="str">
        <f t="shared" si="7"/>
        <v>Pre-COVID</v>
      </c>
    </row>
    <row r="220" spans="1:13" x14ac:dyDescent="0.25">
      <c r="A220" s="2">
        <v>43584</v>
      </c>
      <c r="B220" t="s">
        <v>43</v>
      </c>
      <c r="C220">
        <v>3</v>
      </c>
      <c r="D220" s="3">
        <v>5.4</v>
      </c>
      <c r="E220" s="3">
        <v>16.2</v>
      </c>
      <c r="F220">
        <v>4</v>
      </c>
      <c r="G220">
        <v>2</v>
      </c>
      <c r="H220" s="4">
        <v>1.8</v>
      </c>
      <c r="I220" t="s">
        <v>33</v>
      </c>
      <c r="J220" t="s">
        <v>33</v>
      </c>
      <c r="L220">
        <f t="shared" si="6"/>
        <v>2019</v>
      </c>
      <c r="M220" t="str">
        <f t="shared" si="7"/>
        <v>Pre-COVID</v>
      </c>
    </row>
    <row r="221" spans="1:13" x14ac:dyDescent="0.25">
      <c r="A221" s="2">
        <v>43584</v>
      </c>
      <c r="B221" t="s">
        <v>44</v>
      </c>
      <c r="C221">
        <v>0</v>
      </c>
      <c r="D221" s="3">
        <v>4.7699999999999996</v>
      </c>
      <c r="E221" s="3">
        <v>0</v>
      </c>
      <c r="F221">
        <v>3</v>
      </c>
      <c r="G221">
        <v>3</v>
      </c>
      <c r="H221" s="4">
        <v>1.5</v>
      </c>
      <c r="I221" t="s">
        <v>33</v>
      </c>
      <c r="J221" t="s">
        <v>33</v>
      </c>
      <c r="L221">
        <f t="shared" si="6"/>
        <v>2019</v>
      </c>
      <c r="M221" t="str">
        <f t="shared" si="7"/>
        <v>Pre-COVID</v>
      </c>
    </row>
    <row r="222" spans="1:13" x14ac:dyDescent="0.25">
      <c r="A222" s="2">
        <v>43584</v>
      </c>
      <c r="B222" t="s">
        <v>45</v>
      </c>
      <c r="C222">
        <v>0</v>
      </c>
      <c r="D222" s="3">
        <v>14.77</v>
      </c>
      <c r="E222" s="3">
        <v>0</v>
      </c>
      <c r="F222">
        <v>3</v>
      </c>
      <c r="G222">
        <v>3</v>
      </c>
      <c r="H222" s="4">
        <v>0.5</v>
      </c>
      <c r="I222" t="s">
        <v>33</v>
      </c>
      <c r="J222" t="s">
        <v>33</v>
      </c>
      <c r="L222">
        <f t="shared" si="6"/>
        <v>2019</v>
      </c>
      <c r="M222" t="str">
        <f t="shared" si="7"/>
        <v>Pre-COVID</v>
      </c>
    </row>
    <row r="223" spans="1:13" x14ac:dyDescent="0.25">
      <c r="A223" s="2">
        <v>43591</v>
      </c>
      <c r="B223" t="s">
        <v>32</v>
      </c>
      <c r="C223">
        <v>18</v>
      </c>
      <c r="D223" s="3">
        <v>7.01</v>
      </c>
      <c r="E223" s="3">
        <v>126.18</v>
      </c>
      <c r="F223">
        <v>21</v>
      </c>
      <c r="G223">
        <v>5</v>
      </c>
      <c r="H223" s="4">
        <v>1.1000000000000001</v>
      </c>
      <c r="I223" t="s">
        <v>33</v>
      </c>
      <c r="J223" t="s">
        <v>33</v>
      </c>
      <c r="L223">
        <f t="shared" si="6"/>
        <v>2019</v>
      </c>
      <c r="M223" t="str">
        <f t="shared" si="7"/>
        <v>Pre-COVID</v>
      </c>
    </row>
    <row r="224" spans="1:13" x14ac:dyDescent="0.25">
      <c r="A224" s="2">
        <v>43591</v>
      </c>
      <c r="B224" t="s">
        <v>34</v>
      </c>
      <c r="C224">
        <v>10</v>
      </c>
      <c r="D224" s="3">
        <v>7.45</v>
      </c>
      <c r="E224" s="3">
        <v>74.5</v>
      </c>
      <c r="F224">
        <v>13</v>
      </c>
      <c r="G224">
        <v>5</v>
      </c>
      <c r="H224" s="4">
        <v>0.5</v>
      </c>
      <c r="I224" t="s">
        <v>33</v>
      </c>
      <c r="J224" t="s">
        <v>33</v>
      </c>
      <c r="L224">
        <f t="shared" si="6"/>
        <v>2019</v>
      </c>
      <c r="M224" t="str">
        <f t="shared" si="7"/>
        <v>Pre-COVID</v>
      </c>
    </row>
    <row r="225" spans="1:13" x14ac:dyDescent="0.25">
      <c r="A225" s="2">
        <v>43591</v>
      </c>
      <c r="B225" t="s">
        <v>35</v>
      </c>
      <c r="C225">
        <v>13</v>
      </c>
      <c r="D225" s="3">
        <v>5.73</v>
      </c>
      <c r="E225" s="3">
        <v>74.489999999999995</v>
      </c>
      <c r="F225">
        <v>18</v>
      </c>
      <c r="G225">
        <v>7</v>
      </c>
      <c r="H225" s="4">
        <v>0.4</v>
      </c>
      <c r="I225" t="s">
        <v>33</v>
      </c>
      <c r="J225" t="s">
        <v>33</v>
      </c>
      <c r="L225">
        <f t="shared" si="6"/>
        <v>2019</v>
      </c>
      <c r="M225" t="str">
        <f t="shared" si="7"/>
        <v>Pre-COVID</v>
      </c>
    </row>
    <row r="226" spans="1:13" x14ac:dyDescent="0.25">
      <c r="A226" s="2">
        <v>43591</v>
      </c>
      <c r="B226" t="s">
        <v>36</v>
      </c>
      <c r="C226">
        <v>8</v>
      </c>
      <c r="D226" s="3">
        <v>6.17</v>
      </c>
      <c r="E226" s="3">
        <v>49.36</v>
      </c>
      <c r="F226">
        <v>10</v>
      </c>
      <c r="G226">
        <v>3</v>
      </c>
      <c r="H226" s="4">
        <v>0.2</v>
      </c>
      <c r="I226" t="s">
        <v>33</v>
      </c>
      <c r="J226" t="s">
        <v>33</v>
      </c>
      <c r="L226">
        <f t="shared" si="6"/>
        <v>2019</v>
      </c>
      <c r="M226" t="str">
        <f t="shared" si="7"/>
        <v>Pre-COVID</v>
      </c>
    </row>
    <row r="227" spans="1:13" x14ac:dyDescent="0.25">
      <c r="A227" s="2">
        <v>43591</v>
      </c>
      <c r="B227" t="s">
        <v>37</v>
      </c>
      <c r="C227">
        <v>19</v>
      </c>
      <c r="D227" s="3">
        <v>3.25</v>
      </c>
      <c r="E227" s="3">
        <v>61.75</v>
      </c>
      <c r="F227">
        <v>26</v>
      </c>
      <c r="G227">
        <v>11</v>
      </c>
      <c r="H227" s="4">
        <v>0.7</v>
      </c>
      <c r="I227" t="s">
        <v>33</v>
      </c>
      <c r="J227" t="s">
        <v>33</v>
      </c>
      <c r="L227">
        <f t="shared" si="6"/>
        <v>2019</v>
      </c>
      <c r="M227" t="str">
        <f t="shared" si="7"/>
        <v>Pre-COVID</v>
      </c>
    </row>
    <row r="228" spans="1:13" x14ac:dyDescent="0.25">
      <c r="A228" s="2">
        <v>43591</v>
      </c>
      <c r="B228" t="s">
        <v>38</v>
      </c>
      <c r="C228">
        <v>13</v>
      </c>
      <c r="D228" s="3">
        <v>8.82</v>
      </c>
      <c r="E228" s="3">
        <v>114.66</v>
      </c>
      <c r="F228">
        <v>15</v>
      </c>
      <c r="G228">
        <v>2</v>
      </c>
      <c r="H228" s="4">
        <v>0.5</v>
      </c>
      <c r="I228" t="s">
        <v>33</v>
      </c>
      <c r="J228" t="s">
        <v>33</v>
      </c>
      <c r="L228">
        <f t="shared" si="6"/>
        <v>2019</v>
      </c>
      <c r="M228" t="str">
        <f t="shared" si="7"/>
        <v>Pre-COVID</v>
      </c>
    </row>
    <row r="229" spans="1:13" x14ac:dyDescent="0.25">
      <c r="A229" s="2">
        <v>43591</v>
      </c>
      <c r="B229" t="s">
        <v>39</v>
      </c>
      <c r="C229">
        <v>12</v>
      </c>
      <c r="D229" s="3">
        <v>11.41</v>
      </c>
      <c r="E229" s="3">
        <v>136.91999999999999</v>
      </c>
      <c r="F229">
        <v>15</v>
      </c>
      <c r="G229">
        <v>5</v>
      </c>
      <c r="H229" s="4">
        <v>1</v>
      </c>
      <c r="I229" t="s">
        <v>33</v>
      </c>
      <c r="J229" t="s">
        <v>33</v>
      </c>
      <c r="L229">
        <f t="shared" si="6"/>
        <v>2019</v>
      </c>
      <c r="M229" t="str">
        <f t="shared" si="7"/>
        <v>Pre-COVID</v>
      </c>
    </row>
    <row r="230" spans="1:13" x14ac:dyDescent="0.25">
      <c r="A230" s="2">
        <v>43591</v>
      </c>
      <c r="B230" t="s">
        <v>40</v>
      </c>
      <c r="C230">
        <v>11</v>
      </c>
      <c r="D230" s="3">
        <v>0.64</v>
      </c>
      <c r="E230" s="3">
        <v>7.04</v>
      </c>
      <c r="F230">
        <v>15</v>
      </c>
      <c r="G230">
        <v>5</v>
      </c>
      <c r="H230" s="4">
        <v>1.2</v>
      </c>
      <c r="I230" t="s">
        <v>33</v>
      </c>
      <c r="J230" t="s">
        <v>33</v>
      </c>
      <c r="L230">
        <f t="shared" si="6"/>
        <v>2019</v>
      </c>
      <c r="M230" t="str">
        <f t="shared" si="7"/>
        <v>Pre-COVID</v>
      </c>
    </row>
    <row r="231" spans="1:13" x14ac:dyDescent="0.25">
      <c r="A231" s="2">
        <v>43591</v>
      </c>
      <c r="B231" t="s">
        <v>41</v>
      </c>
      <c r="C231">
        <v>7</v>
      </c>
      <c r="D231" s="3">
        <v>1.31</v>
      </c>
      <c r="E231" s="3">
        <v>9.17</v>
      </c>
      <c r="F231">
        <v>11</v>
      </c>
      <c r="G231">
        <v>5</v>
      </c>
      <c r="H231" s="4">
        <v>1.8</v>
      </c>
      <c r="I231" t="s">
        <v>33</v>
      </c>
      <c r="J231" t="s">
        <v>33</v>
      </c>
      <c r="L231">
        <f t="shared" si="6"/>
        <v>2019</v>
      </c>
      <c r="M231" t="str">
        <f t="shared" si="7"/>
        <v>Pre-COVID</v>
      </c>
    </row>
    <row r="232" spans="1:13" x14ac:dyDescent="0.25">
      <c r="A232" s="2">
        <v>43591</v>
      </c>
      <c r="B232" t="s">
        <v>42</v>
      </c>
      <c r="C232">
        <v>7</v>
      </c>
      <c r="D232" s="3">
        <v>4.21</v>
      </c>
      <c r="E232" s="3">
        <v>29.47</v>
      </c>
      <c r="F232">
        <v>11</v>
      </c>
      <c r="G232">
        <v>5</v>
      </c>
      <c r="H232" s="4">
        <v>1.3</v>
      </c>
      <c r="I232" t="s">
        <v>33</v>
      </c>
      <c r="J232" t="s">
        <v>33</v>
      </c>
      <c r="L232">
        <f t="shared" si="6"/>
        <v>2019</v>
      </c>
      <c r="M232" t="str">
        <f t="shared" si="7"/>
        <v>Pre-COVID</v>
      </c>
    </row>
    <row r="233" spans="1:13" x14ac:dyDescent="0.25">
      <c r="A233" s="2">
        <v>43591</v>
      </c>
      <c r="B233" t="s">
        <v>43</v>
      </c>
      <c r="C233">
        <v>2</v>
      </c>
      <c r="D233" s="3">
        <v>5.32</v>
      </c>
      <c r="E233" s="3">
        <v>10.64</v>
      </c>
      <c r="F233">
        <v>3</v>
      </c>
      <c r="G233">
        <v>1</v>
      </c>
      <c r="H233" s="4">
        <v>0.6</v>
      </c>
      <c r="I233" t="s">
        <v>33</v>
      </c>
      <c r="J233" t="s">
        <v>33</v>
      </c>
      <c r="L233">
        <f t="shared" si="6"/>
        <v>2019</v>
      </c>
      <c r="M233" t="str">
        <f t="shared" si="7"/>
        <v>Pre-COVID</v>
      </c>
    </row>
    <row r="234" spans="1:13" x14ac:dyDescent="0.25">
      <c r="A234" s="2">
        <v>43591</v>
      </c>
      <c r="B234" t="s">
        <v>44</v>
      </c>
      <c r="C234">
        <v>0</v>
      </c>
      <c r="D234" s="3">
        <v>5.03</v>
      </c>
      <c r="E234" s="3">
        <v>0</v>
      </c>
      <c r="F234">
        <v>3</v>
      </c>
      <c r="G234">
        <v>3</v>
      </c>
      <c r="H234" s="4">
        <v>1</v>
      </c>
      <c r="I234" t="s">
        <v>33</v>
      </c>
      <c r="J234" t="s">
        <v>33</v>
      </c>
      <c r="L234">
        <f t="shared" si="6"/>
        <v>2019</v>
      </c>
      <c r="M234" t="str">
        <f t="shared" si="7"/>
        <v>Pre-COVID</v>
      </c>
    </row>
    <row r="235" spans="1:13" x14ac:dyDescent="0.25">
      <c r="A235" s="2">
        <v>43591</v>
      </c>
      <c r="B235" t="s">
        <v>45</v>
      </c>
      <c r="C235">
        <v>0</v>
      </c>
      <c r="D235" s="3">
        <v>15.53</v>
      </c>
      <c r="E235" s="3">
        <v>0</v>
      </c>
      <c r="F235">
        <v>3</v>
      </c>
      <c r="G235">
        <v>3</v>
      </c>
      <c r="H235" s="4">
        <v>2.2000000000000002</v>
      </c>
      <c r="I235" t="s">
        <v>33</v>
      </c>
      <c r="J235" t="s">
        <v>33</v>
      </c>
      <c r="L235">
        <f t="shared" si="6"/>
        <v>2019</v>
      </c>
      <c r="M235" t="str">
        <f t="shared" si="7"/>
        <v>Pre-COVID</v>
      </c>
    </row>
    <row r="236" spans="1:13" x14ac:dyDescent="0.25">
      <c r="A236" s="2">
        <v>43598</v>
      </c>
      <c r="B236" t="s">
        <v>32</v>
      </c>
      <c r="C236">
        <v>15</v>
      </c>
      <c r="D236" s="3">
        <v>7.05</v>
      </c>
      <c r="E236" s="3">
        <v>105.75</v>
      </c>
      <c r="F236">
        <v>23</v>
      </c>
      <c r="G236">
        <v>11</v>
      </c>
      <c r="H236" s="4">
        <v>0.9</v>
      </c>
      <c r="I236" t="s">
        <v>33</v>
      </c>
      <c r="J236" t="s">
        <v>33</v>
      </c>
      <c r="L236">
        <f t="shared" si="6"/>
        <v>2019</v>
      </c>
      <c r="M236" t="str">
        <f t="shared" si="7"/>
        <v>Pre-COVID</v>
      </c>
    </row>
    <row r="237" spans="1:13" x14ac:dyDescent="0.25">
      <c r="A237" s="2">
        <v>43598</v>
      </c>
      <c r="B237" t="s">
        <v>34</v>
      </c>
      <c r="C237">
        <v>20</v>
      </c>
      <c r="D237" s="3">
        <v>7.39</v>
      </c>
      <c r="E237" s="3">
        <v>147.80000000000001</v>
      </c>
      <c r="F237">
        <v>32</v>
      </c>
      <c r="G237">
        <v>18</v>
      </c>
      <c r="H237" s="4">
        <v>1.8</v>
      </c>
      <c r="I237" t="s">
        <v>33</v>
      </c>
      <c r="J237" t="s">
        <v>33</v>
      </c>
      <c r="L237">
        <f t="shared" si="6"/>
        <v>2019</v>
      </c>
      <c r="M237" t="str">
        <f t="shared" si="7"/>
        <v>Pre-COVID</v>
      </c>
    </row>
    <row r="238" spans="1:13" x14ac:dyDescent="0.25">
      <c r="A238" s="2">
        <v>43598</v>
      </c>
      <c r="B238" t="s">
        <v>35</v>
      </c>
      <c r="C238">
        <v>8</v>
      </c>
      <c r="D238" s="3">
        <v>5.81</v>
      </c>
      <c r="E238" s="3">
        <v>46.48</v>
      </c>
      <c r="F238">
        <v>12</v>
      </c>
      <c r="G238">
        <v>5</v>
      </c>
      <c r="H238" s="4">
        <v>1.6</v>
      </c>
      <c r="I238" t="s">
        <v>33</v>
      </c>
      <c r="J238" t="s">
        <v>33</v>
      </c>
      <c r="L238">
        <f t="shared" si="6"/>
        <v>2019</v>
      </c>
      <c r="M238" t="str">
        <f t="shared" si="7"/>
        <v>Pre-COVID</v>
      </c>
    </row>
    <row r="239" spans="1:13" x14ac:dyDescent="0.25">
      <c r="A239" s="2">
        <v>43598</v>
      </c>
      <c r="B239" t="s">
        <v>36</v>
      </c>
      <c r="C239">
        <v>7</v>
      </c>
      <c r="D239" s="3">
        <v>6.51</v>
      </c>
      <c r="E239" s="3">
        <v>45.57</v>
      </c>
      <c r="F239">
        <v>10</v>
      </c>
      <c r="G239">
        <v>4</v>
      </c>
      <c r="H239" s="4">
        <v>1</v>
      </c>
      <c r="I239" t="s">
        <v>33</v>
      </c>
      <c r="J239" t="s">
        <v>33</v>
      </c>
      <c r="L239">
        <f t="shared" si="6"/>
        <v>2019</v>
      </c>
      <c r="M239" t="str">
        <f t="shared" si="7"/>
        <v>Pre-COVID</v>
      </c>
    </row>
    <row r="240" spans="1:13" x14ac:dyDescent="0.25">
      <c r="A240" s="2">
        <v>43598</v>
      </c>
      <c r="B240" t="s">
        <v>37</v>
      </c>
      <c r="C240">
        <v>27</v>
      </c>
      <c r="D240" s="3">
        <v>3.34</v>
      </c>
      <c r="E240" s="3">
        <v>90.18</v>
      </c>
      <c r="F240">
        <v>37</v>
      </c>
      <c r="G240">
        <v>14</v>
      </c>
      <c r="H240" s="4">
        <v>1.3</v>
      </c>
      <c r="I240" t="s">
        <v>33</v>
      </c>
      <c r="J240" t="s">
        <v>33</v>
      </c>
      <c r="L240">
        <f t="shared" si="6"/>
        <v>2019</v>
      </c>
      <c r="M240" t="str">
        <f t="shared" si="7"/>
        <v>Pre-COVID</v>
      </c>
    </row>
    <row r="241" spans="1:13" x14ac:dyDescent="0.25">
      <c r="A241" s="2">
        <v>43598</v>
      </c>
      <c r="B241" t="s">
        <v>38</v>
      </c>
      <c r="C241">
        <v>16</v>
      </c>
      <c r="D241" s="3">
        <v>8.7899999999999991</v>
      </c>
      <c r="E241" s="3">
        <v>140.63999999999999</v>
      </c>
      <c r="F241">
        <v>21</v>
      </c>
      <c r="G241">
        <v>8</v>
      </c>
      <c r="H241" s="4">
        <v>0.7</v>
      </c>
      <c r="I241" t="s">
        <v>33</v>
      </c>
      <c r="J241" t="s">
        <v>33</v>
      </c>
      <c r="L241">
        <f t="shared" si="6"/>
        <v>2019</v>
      </c>
      <c r="M241" t="str">
        <f t="shared" si="7"/>
        <v>Pre-COVID</v>
      </c>
    </row>
    <row r="242" spans="1:13" x14ac:dyDescent="0.25">
      <c r="A242" s="2">
        <v>43598</v>
      </c>
      <c r="B242" t="s">
        <v>39</v>
      </c>
      <c r="C242">
        <v>22</v>
      </c>
      <c r="D242" s="3">
        <v>11.59</v>
      </c>
      <c r="E242" s="3">
        <v>254.98</v>
      </c>
      <c r="F242">
        <v>23</v>
      </c>
      <c r="G242">
        <v>2</v>
      </c>
      <c r="H242" s="4">
        <v>0</v>
      </c>
      <c r="I242" t="s">
        <v>33</v>
      </c>
      <c r="J242" t="s">
        <v>33</v>
      </c>
      <c r="L242">
        <f t="shared" si="6"/>
        <v>2019</v>
      </c>
      <c r="M242" t="str">
        <f t="shared" si="7"/>
        <v>Pre-COVID</v>
      </c>
    </row>
    <row r="243" spans="1:13" x14ac:dyDescent="0.25">
      <c r="A243" s="2">
        <v>43598</v>
      </c>
      <c r="B243" t="s">
        <v>40</v>
      </c>
      <c r="C243">
        <v>11</v>
      </c>
      <c r="D243" s="3">
        <v>0.65</v>
      </c>
      <c r="E243" s="3">
        <v>7.15</v>
      </c>
      <c r="F243">
        <v>17</v>
      </c>
      <c r="G243">
        <v>8</v>
      </c>
      <c r="H243" s="4">
        <v>1.3</v>
      </c>
      <c r="I243" t="s">
        <v>33</v>
      </c>
      <c r="J243" t="s">
        <v>33</v>
      </c>
      <c r="L243">
        <f t="shared" si="6"/>
        <v>2019</v>
      </c>
      <c r="M243" t="str">
        <f t="shared" si="7"/>
        <v>Pre-COVID</v>
      </c>
    </row>
    <row r="244" spans="1:13" x14ac:dyDescent="0.25">
      <c r="A244" s="2">
        <v>43598</v>
      </c>
      <c r="B244" t="s">
        <v>41</v>
      </c>
      <c r="C244">
        <v>9</v>
      </c>
      <c r="D244" s="3">
        <v>1.41</v>
      </c>
      <c r="E244" s="3">
        <v>12.69</v>
      </c>
      <c r="F244">
        <v>11</v>
      </c>
      <c r="G244">
        <v>4</v>
      </c>
      <c r="H244" s="4">
        <v>0.7</v>
      </c>
      <c r="I244" t="s">
        <v>33</v>
      </c>
      <c r="J244" t="s">
        <v>33</v>
      </c>
      <c r="L244">
        <f t="shared" si="6"/>
        <v>2019</v>
      </c>
      <c r="M244" t="str">
        <f t="shared" si="7"/>
        <v>Pre-COVID</v>
      </c>
    </row>
    <row r="245" spans="1:13" x14ac:dyDescent="0.25">
      <c r="A245" s="2">
        <v>43598</v>
      </c>
      <c r="B245" t="s">
        <v>42</v>
      </c>
      <c r="C245">
        <v>8</v>
      </c>
      <c r="D245" s="3">
        <v>4.16</v>
      </c>
      <c r="E245" s="3">
        <v>33.28</v>
      </c>
      <c r="F245">
        <v>12</v>
      </c>
      <c r="G245">
        <v>6</v>
      </c>
      <c r="H245" s="4">
        <v>1.5</v>
      </c>
      <c r="I245" t="s">
        <v>33</v>
      </c>
      <c r="J245" t="s">
        <v>33</v>
      </c>
      <c r="L245">
        <f t="shared" si="6"/>
        <v>2019</v>
      </c>
      <c r="M245" t="str">
        <f t="shared" si="7"/>
        <v>Pre-COVID</v>
      </c>
    </row>
    <row r="246" spans="1:13" x14ac:dyDescent="0.25">
      <c r="A246" s="2">
        <v>43598</v>
      </c>
      <c r="B246" t="s">
        <v>43</v>
      </c>
      <c r="C246">
        <v>1</v>
      </c>
      <c r="D246" s="3">
        <v>5.39</v>
      </c>
      <c r="E246" s="3">
        <v>5.39</v>
      </c>
      <c r="F246">
        <v>3</v>
      </c>
      <c r="G246">
        <v>2</v>
      </c>
      <c r="H246" s="4">
        <v>1.2</v>
      </c>
      <c r="I246" t="s">
        <v>33</v>
      </c>
      <c r="J246" t="s">
        <v>46</v>
      </c>
      <c r="L246">
        <f t="shared" si="6"/>
        <v>2019</v>
      </c>
      <c r="M246" t="str">
        <f t="shared" si="7"/>
        <v>Pre-COVID</v>
      </c>
    </row>
    <row r="247" spans="1:13" x14ac:dyDescent="0.25">
      <c r="A247" s="2">
        <v>43598</v>
      </c>
      <c r="B247" t="s">
        <v>44</v>
      </c>
      <c r="C247">
        <v>1</v>
      </c>
      <c r="D247" s="3">
        <v>4.95</v>
      </c>
      <c r="E247" s="3">
        <v>4.95</v>
      </c>
      <c r="F247">
        <v>3</v>
      </c>
      <c r="G247">
        <v>2</v>
      </c>
      <c r="H247" s="4">
        <v>1.1000000000000001</v>
      </c>
      <c r="I247" t="s">
        <v>46</v>
      </c>
      <c r="J247" t="s">
        <v>33</v>
      </c>
      <c r="K247" t="s">
        <v>47</v>
      </c>
      <c r="L247">
        <f t="shared" si="6"/>
        <v>2019</v>
      </c>
      <c r="M247" t="str">
        <f t="shared" si="7"/>
        <v>Pre-COVID</v>
      </c>
    </row>
    <row r="248" spans="1:13" x14ac:dyDescent="0.25">
      <c r="A248" s="2">
        <v>43598</v>
      </c>
      <c r="B248" t="s">
        <v>45</v>
      </c>
      <c r="C248">
        <v>1</v>
      </c>
      <c r="D248" s="3">
        <v>15.48</v>
      </c>
      <c r="E248" s="3">
        <v>15.48</v>
      </c>
      <c r="F248">
        <v>3</v>
      </c>
      <c r="G248">
        <v>2</v>
      </c>
      <c r="H248" s="4">
        <v>0.5</v>
      </c>
      <c r="I248" t="s">
        <v>46</v>
      </c>
      <c r="J248" t="s">
        <v>33</v>
      </c>
      <c r="L248">
        <f t="shared" si="6"/>
        <v>2019</v>
      </c>
      <c r="M248" t="str">
        <f t="shared" si="7"/>
        <v>Pre-COVID</v>
      </c>
    </row>
    <row r="249" spans="1:13" x14ac:dyDescent="0.25">
      <c r="A249" s="2">
        <v>43605</v>
      </c>
      <c r="B249" t="s">
        <v>32</v>
      </c>
      <c r="C249">
        <v>20</v>
      </c>
      <c r="D249" s="3">
        <v>7.08</v>
      </c>
      <c r="E249" s="3">
        <v>141.6</v>
      </c>
      <c r="F249">
        <v>21</v>
      </c>
      <c r="G249">
        <v>4</v>
      </c>
      <c r="H249" s="4">
        <v>0.3</v>
      </c>
      <c r="I249" t="s">
        <v>33</v>
      </c>
      <c r="J249" t="s">
        <v>33</v>
      </c>
      <c r="L249">
        <f t="shared" si="6"/>
        <v>2019</v>
      </c>
      <c r="M249" t="str">
        <f t="shared" si="7"/>
        <v>Pre-COVID</v>
      </c>
    </row>
    <row r="250" spans="1:13" x14ac:dyDescent="0.25">
      <c r="A250" s="2">
        <v>43605</v>
      </c>
      <c r="B250" t="s">
        <v>34</v>
      </c>
      <c r="C250">
        <v>12</v>
      </c>
      <c r="D250" s="3">
        <v>6.91</v>
      </c>
      <c r="E250" s="3">
        <v>82.92</v>
      </c>
      <c r="F250">
        <v>15</v>
      </c>
      <c r="G250">
        <v>5</v>
      </c>
      <c r="H250" s="4">
        <v>0.2</v>
      </c>
      <c r="I250" t="s">
        <v>33</v>
      </c>
      <c r="J250" t="s">
        <v>33</v>
      </c>
      <c r="L250">
        <f t="shared" si="6"/>
        <v>2019</v>
      </c>
      <c r="M250" t="str">
        <f t="shared" si="7"/>
        <v>Pre-COVID</v>
      </c>
    </row>
    <row r="251" spans="1:13" x14ac:dyDescent="0.25">
      <c r="A251" s="2">
        <v>43605</v>
      </c>
      <c r="B251" t="s">
        <v>35</v>
      </c>
      <c r="C251">
        <v>6</v>
      </c>
      <c r="D251" s="3">
        <v>5.85</v>
      </c>
      <c r="E251" s="3">
        <v>35.1</v>
      </c>
      <c r="F251">
        <v>8</v>
      </c>
      <c r="G251">
        <v>3</v>
      </c>
      <c r="H251" s="4">
        <v>1.4</v>
      </c>
      <c r="I251" t="s">
        <v>33</v>
      </c>
      <c r="J251" t="s">
        <v>33</v>
      </c>
      <c r="L251">
        <f t="shared" si="6"/>
        <v>2019</v>
      </c>
      <c r="M251" t="str">
        <f t="shared" si="7"/>
        <v>Pre-COVID</v>
      </c>
    </row>
    <row r="252" spans="1:13" x14ac:dyDescent="0.25">
      <c r="A252" s="2">
        <v>43605</v>
      </c>
      <c r="B252" t="s">
        <v>36</v>
      </c>
      <c r="C252">
        <v>11</v>
      </c>
      <c r="D252" s="3">
        <v>6.03</v>
      </c>
      <c r="E252" s="3">
        <v>66.33</v>
      </c>
      <c r="F252">
        <v>12</v>
      </c>
      <c r="G252">
        <v>1</v>
      </c>
      <c r="H252" s="4">
        <v>1.7</v>
      </c>
      <c r="I252" t="s">
        <v>33</v>
      </c>
      <c r="J252" t="s">
        <v>33</v>
      </c>
      <c r="L252">
        <f t="shared" si="6"/>
        <v>2019</v>
      </c>
      <c r="M252" t="str">
        <f t="shared" si="7"/>
        <v>Pre-COVID</v>
      </c>
    </row>
    <row r="253" spans="1:13" x14ac:dyDescent="0.25">
      <c r="A253" s="2">
        <v>43605</v>
      </c>
      <c r="B253" t="s">
        <v>37</v>
      </c>
      <c r="C253">
        <v>24</v>
      </c>
      <c r="D253" s="3">
        <v>3.27</v>
      </c>
      <c r="E253" s="3">
        <v>78.48</v>
      </c>
      <c r="F253">
        <v>35</v>
      </c>
      <c r="G253">
        <v>15</v>
      </c>
      <c r="H253" s="4">
        <v>0.8</v>
      </c>
      <c r="I253" t="s">
        <v>33</v>
      </c>
      <c r="J253" t="s">
        <v>33</v>
      </c>
      <c r="L253">
        <f t="shared" si="6"/>
        <v>2019</v>
      </c>
      <c r="M253" t="str">
        <f t="shared" si="7"/>
        <v>Pre-COVID</v>
      </c>
    </row>
    <row r="254" spans="1:13" x14ac:dyDescent="0.25">
      <c r="A254" s="2">
        <v>43605</v>
      </c>
      <c r="B254" t="s">
        <v>38</v>
      </c>
      <c r="C254">
        <v>15</v>
      </c>
      <c r="D254" s="3">
        <v>8.7100000000000009</v>
      </c>
      <c r="E254" s="3">
        <v>130.65</v>
      </c>
      <c r="F254">
        <v>17</v>
      </c>
      <c r="G254">
        <v>3</v>
      </c>
      <c r="H254" s="4">
        <v>0.9</v>
      </c>
      <c r="I254" t="s">
        <v>33</v>
      </c>
      <c r="J254" t="s">
        <v>33</v>
      </c>
      <c r="L254">
        <f t="shared" si="6"/>
        <v>2019</v>
      </c>
      <c r="M254" t="str">
        <f t="shared" si="7"/>
        <v>Pre-COVID</v>
      </c>
    </row>
    <row r="255" spans="1:13" x14ac:dyDescent="0.25">
      <c r="A255" s="2">
        <v>43605</v>
      </c>
      <c r="B255" t="s">
        <v>39</v>
      </c>
      <c r="C255">
        <v>20</v>
      </c>
      <c r="D255" s="3">
        <v>11.91</v>
      </c>
      <c r="E255" s="3">
        <v>238.2</v>
      </c>
      <c r="F255">
        <v>29</v>
      </c>
      <c r="G255">
        <v>10</v>
      </c>
      <c r="H255" s="4">
        <v>0.9</v>
      </c>
      <c r="I255" t="s">
        <v>33</v>
      </c>
      <c r="J255" t="s">
        <v>33</v>
      </c>
      <c r="L255">
        <f t="shared" si="6"/>
        <v>2019</v>
      </c>
      <c r="M255" t="str">
        <f t="shared" si="7"/>
        <v>Pre-COVID</v>
      </c>
    </row>
    <row r="256" spans="1:13" x14ac:dyDescent="0.25">
      <c r="A256" s="2">
        <v>43605</v>
      </c>
      <c r="B256" t="s">
        <v>40</v>
      </c>
      <c r="C256">
        <v>10</v>
      </c>
      <c r="D256" s="3">
        <v>0.67</v>
      </c>
      <c r="E256" s="3">
        <v>6.7</v>
      </c>
      <c r="F256">
        <v>11</v>
      </c>
      <c r="G256">
        <v>1</v>
      </c>
      <c r="H256" s="4">
        <v>1.4</v>
      </c>
      <c r="I256" t="s">
        <v>33</v>
      </c>
      <c r="J256" t="s">
        <v>33</v>
      </c>
      <c r="L256">
        <f t="shared" si="6"/>
        <v>2019</v>
      </c>
      <c r="M256" t="str">
        <f t="shared" si="7"/>
        <v>Pre-COVID</v>
      </c>
    </row>
    <row r="257" spans="1:13" x14ac:dyDescent="0.25">
      <c r="A257" s="2">
        <v>43605</v>
      </c>
      <c r="B257" t="s">
        <v>41</v>
      </c>
      <c r="C257">
        <v>7</v>
      </c>
      <c r="D257" s="3">
        <v>1.37</v>
      </c>
      <c r="E257" s="3">
        <v>9.59</v>
      </c>
      <c r="F257">
        <v>9</v>
      </c>
      <c r="G257">
        <v>2</v>
      </c>
      <c r="H257" s="4">
        <v>0.6</v>
      </c>
      <c r="I257" t="s">
        <v>33</v>
      </c>
      <c r="J257" t="s">
        <v>33</v>
      </c>
      <c r="L257">
        <f t="shared" si="6"/>
        <v>2019</v>
      </c>
      <c r="M257" t="str">
        <f t="shared" si="7"/>
        <v>Pre-COVID</v>
      </c>
    </row>
    <row r="258" spans="1:13" x14ac:dyDescent="0.25">
      <c r="A258" s="2">
        <v>43605</v>
      </c>
      <c r="B258" t="s">
        <v>42</v>
      </c>
      <c r="C258">
        <v>11</v>
      </c>
      <c r="D258" s="3">
        <v>4.24</v>
      </c>
      <c r="E258" s="3">
        <v>46.64</v>
      </c>
      <c r="F258">
        <v>14</v>
      </c>
      <c r="G258">
        <v>5</v>
      </c>
      <c r="H258" s="4">
        <v>0.4</v>
      </c>
      <c r="I258" t="s">
        <v>33</v>
      </c>
      <c r="J258" t="s">
        <v>33</v>
      </c>
      <c r="L258">
        <f t="shared" ref="L258:L321" si="8">YEAR(A258)</f>
        <v>2019</v>
      </c>
      <c r="M258" t="str">
        <f t="shared" ref="M258:M321" si="9">IF(L258=2019,"Pre-COVID","COVID Period")</f>
        <v>Pre-COVID</v>
      </c>
    </row>
    <row r="259" spans="1:13" x14ac:dyDescent="0.25">
      <c r="A259" s="2">
        <v>43605</v>
      </c>
      <c r="B259" t="s">
        <v>43</v>
      </c>
      <c r="C259">
        <v>5</v>
      </c>
      <c r="D259" s="3">
        <v>5.71</v>
      </c>
      <c r="E259" s="3">
        <v>28.55</v>
      </c>
      <c r="F259">
        <v>6</v>
      </c>
      <c r="G259">
        <v>2</v>
      </c>
      <c r="H259" s="4">
        <v>1.3</v>
      </c>
      <c r="I259" t="s">
        <v>33</v>
      </c>
      <c r="J259" t="s">
        <v>33</v>
      </c>
      <c r="L259">
        <f t="shared" si="8"/>
        <v>2019</v>
      </c>
      <c r="M259" t="str">
        <f t="shared" si="9"/>
        <v>Pre-COVID</v>
      </c>
    </row>
    <row r="260" spans="1:13" x14ac:dyDescent="0.25">
      <c r="A260" s="2">
        <v>43605</v>
      </c>
      <c r="B260" t="s">
        <v>44</v>
      </c>
      <c r="C260">
        <v>0</v>
      </c>
      <c r="D260" s="3">
        <v>4.75</v>
      </c>
      <c r="E260" s="3">
        <v>0</v>
      </c>
      <c r="F260">
        <v>3</v>
      </c>
      <c r="G260">
        <v>3</v>
      </c>
      <c r="H260" s="4">
        <v>0.5</v>
      </c>
      <c r="I260" t="s">
        <v>33</v>
      </c>
      <c r="J260" t="s">
        <v>33</v>
      </c>
      <c r="L260">
        <f t="shared" si="8"/>
        <v>2019</v>
      </c>
      <c r="M260" t="str">
        <f t="shared" si="9"/>
        <v>Pre-COVID</v>
      </c>
    </row>
    <row r="261" spans="1:13" x14ac:dyDescent="0.25">
      <c r="A261" s="2">
        <v>43605</v>
      </c>
      <c r="B261" t="s">
        <v>45</v>
      </c>
      <c r="C261">
        <v>0</v>
      </c>
      <c r="D261" s="3">
        <v>15.61</v>
      </c>
      <c r="E261" s="3">
        <v>0</v>
      </c>
      <c r="F261">
        <v>3</v>
      </c>
      <c r="G261">
        <v>3</v>
      </c>
      <c r="H261" s="4">
        <v>1.1000000000000001</v>
      </c>
      <c r="I261" t="s">
        <v>33</v>
      </c>
      <c r="J261" t="s">
        <v>33</v>
      </c>
      <c r="L261">
        <f t="shared" si="8"/>
        <v>2019</v>
      </c>
      <c r="M261" t="str">
        <f t="shared" si="9"/>
        <v>Pre-COVID</v>
      </c>
    </row>
    <row r="262" spans="1:13" x14ac:dyDescent="0.25">
      <c r="A262" s="2">
        <v>43612</v>
      </c>
      <c r="B262" t="s">
        <v>32</v>
      </c>
      <c r="C262">
        <v>15</v>
      </c>
      <c r="D262" s="3">
        <v>6.68</v>
      </c>
      <c r="E262" s="3">
        <v>100.2</v>
      </c>
      <c r="F262">
        <v>18</v>
      </c>
      <c r="G262">
        <v>5</v>
      </c>
      <c r="H262" s="4">
        <v>0.7</v>
      </c>
      <c r="I262" t="s">
        <v>33</v>
      </c>
      <c r="J262" t="s">
        <v>33</v>
      </c>
      <c r="L262">
        <f t="shared" si="8"/>
        <v>2019</v>
      </c>
      <c r="M262" t="str">
        <f t="shared" si="9"/>
        <v>Pre-COVID</v>
      </c>
    </row>
    <row r="263" spans="1:13" x14ac:dyDescent="0.25">
      <c r="A263" s="2">
        <v>43612</v>
      </c>
      <c r="B263" t="s">
        <v>34</v>
      </c>
      <c r="C263">
        <v>16</v>
      </c>
      <c r="D263" s="3">
        <v>6.94</v>
      </c>
      <c r="E263" s="3">
        <v>111.04</v>
      </c>
      <c r="F263">
        <v>21</v>
      </c>
      <c r="G263">
        <v>5</v>
      </c>
      <c r="H263" s="4">
        <v>0.1</v>
      </c>
      <c r="I263" t="s">
        <v>33</v>
      </c>
      <c r="J263" t="s">
        <v>33</v>
      </c>
      <c r="L263">
        <f t="shared" si="8"/>
        <v>2019</v>
      </c>
      <c r="M263" t="str">
        <f t="shared" si="9"/>
        <v>Pre-COVID</v>
      </c>
    </row>
    <row r="264" spans="1:13" x14ac:dyDescent="0.25">
      <c r="A264" s="2">
        <v>43612</v>
      </c>
      <c r="B264" t="s">
        <v>35</v>
      </c>
      <c r="C264">
        <v>8</v>
      </c>
      <c r="D264" s="3">
        <v>6.1</v>
      </c>
      <c r="E264" s="3">
        <v>48.8</v>
      </c>
      <c r="F264">
        <v>11</v>
      </c>
      <c r="G264">
        <v>4</v>
      </c>
      <c r="H264" s="4">
        <v>1.5</v>
      </c>
      <c r="I264" t="s">
        <v>33</v>
      </c>
      <c r="J264" t="s">
        <v>33</v>
      </c>
      <c r="L264">
        <f t="shared" si="8"/>
        <v>2019</v>
      </c>
      <c r="M264" t="str">
        <f t="shared" si="9"/>
        <v>Pre-COVID</v>
      </c>
    </row>
    <row r="265" spans="1:13" x14ac:dyDescent="0.25">
      <c r="A265" s="2">
        <v>43612</v>
      </c>
      <c r="B265" t="s">
        <v>36</v>
      </c>
      <c r="C265">
        <v>8</v>
      </c>
      <c r="D265" s="3">
        <v>6.47</v>
      </c>
      <c r="E265" s="3">
        <v>51.76</v>
      </c>
      <c r="F265">
        <v>10</v>
      </c>
      <c r="G265">
        <v>3</v>
      </c>
      <c r="H265" s="4">
        <v>0.7</v>
      </c>
      <c r="I265" t="s">
        <v>33</v>
      </c>
      <c r="J265" t="s">
        <v>33</v>
      </c>
      <c r="L265">
        <f t="shared" si="8"/>
        <v>2019</v>
      </c>
      <c r="M265" t="str">
        <f t="shared" si="9"/>
        <v>Pre-COVID</v>
      </c>
    </row>
    <row r="266" spans="1:13" x14ac:dyDescent="0.25">
      <c r="A266" s="2">
        <v>43612</v>
      </c>
      <c r="B266" t="s">
        <v>37</v>
      </c>
      <c r="C266">
        <v>27</v>
      </c>
      <c r="D266" s="3">
        <v>3.16</v>
      </c>
      <c r="E266" s="3">
        <v>85.32</v>
      </c>
      <c r="F266">
        <v>33</v>
      </c>
      <c r="G266">
        <v>7</v>
      </c>
      <c r="H266" s="4">
        <v>1.5</v>
      </c>
      <c r="I266" t="s">
        <v>33</v>
      </c>
      <c r="J266" t="s">
        <v>33</v>
      </c>
      <c r="L266">
        <f t="shared" si="8"/>
        <v>2019</v>
      </c>
      <c r="M266" t="str">
        <f t="shared" si="9"/>
        <v>Pre-COVID</v>
      </c>
    </row>
    <row r="267" spans="1:13" x14ac:dyDescent="0.25">
      <c r="A267" s="2">
        <v>43612</v>
      </c>
      <c r="B267" t="s">
        <v>38</v>
      </c>
      <c r="C267">
        <v>18</v>
      </c>
      <c r="D267" s="3">
        <v>8.32</v>
      </c>
      <c r="E267" s="3">
        <v>149.76</v>
      </c>
      <c r="F267">
        <v>24</v>
      </c>
      <c r="G267">
        <v>8</v>
      </c>
      <c r="H267" s="4">
        <v>0.6</v>
      </c>
      <c r="I267" t="s">
        <v>33</v>
      </c>
      <c r="J267" t="s">
        <v>33</v>
      </c>
      <c r="L267">
        <f t="shared" si="8"/>
        <v>2019</v>
      </c>
      <c r="M267" t="str">
        <f t="shared" si="9"/>
        <v>Pre-COVID</v>
      </c>
    </row>
    <row r="268" spans="1:13" x14ac:dyDescent="0.25">
      <c r="A268" s="2">
        <v>43612</v>
      </c>
      <c r="B268" t="s">
        <v>39</v>
      </c>
      <c r="C268">
        <v>29</v>
      </c>
      <c r="D268" s="3">
        <v>11.87</v>
      </c>
      <c r="E268" s="3">
        <v>344.23</v>
      </c>
      <c r="F268">
        <v>31</v>
      </c>
      <c r="G268">
        <v>5</v>
      </c>
      <c r="H268" s="4">
        <v>0.9</v>
      </c>
      <c r="I268" t="s">
        <v>33</v>
      </c>
      <c r="J268" t="s">
        <v>33</v>
      </c>
      <c r="L268">
        <f t="shared" si="8"/>
        <v>2019</v>
      </c>
      <c r="M268" t="str">
        <f t="shared" si="9"/>
        <v>Pre-COVID</v>
      </c>
    </row>
    <row r="269" spans="1:13" x14ac:dyDescent="0.25">
      <c r="A269" s="2">
        <v>43612</v>
      </c>
      <c r="B269" t="s">
        <v>40</v>
      </c>
      <c r="C269">
        <v>10</v>
      </c>
      <c r="D269" s="3">
        <v>0.64</v>
      </c>
      <c r="E269" s="3">
        <v>6.4</v>
      </c>
      <c r="F269">
        <v>16</v>
      </c>
      <c r="G269">
        <v>8</v>
      </c>
      <c r="H269" s="4">
        <v>1</v>
      </c>
      <c r="I269" t="s">
        <v>33</v>
      </c>
      <c r="J269" t="s">
        <v>33</v>
      </c>
      <c r="L269">
        <f t="shared" si="8"/>
        <v>2019</v>
      </c>
      <c r="M269" t="str">
        <f t="shared" si="9"/>
        <v>Pre-COVID</v>
      </c>
    </row>
    <row r="270" spans="1:13" x14ac:dyDescent="0.25">
      <c r="A270" s="2">
        <v>43612</v>
      </c>
      <c r="B270" t="s">
        <v>41</v>
      </c>
      <c r="C270">
        <v>8</v>
      </c>
      <c r="D270" s="3">
        <v>1.34</v>
      </c>
      <c r="E270" s="3">
        <v>10.72</v>
      </c>
      <c r="F270">
        <v>9</v>
      </c>
      <c r="G270">
        <v>2</v>
      </c>
      <c r="H270" s="4">
        <v>0.7</v>
      </c>
      <c r="I270" t="s">
        <v>33</v>
      </c>
      <c r="J270" t="s">
        <v>33</v>
      </c>
      <c r="L270">
        <f t="shared" si="8"/>
        <v>2019</v>
      </c>
      <c r="M270" t="str">
        <f t="shared" si="9"/>
        <v>Pre-COVID</v>
      </c>
    </row>
    <row r="271" spans="1:13" x14ac:dyDescent="0.25">
      <c r="A271" s="2">
        <v>43612</v>
      </c>
      <c r="B271" t="s">
        <v>42</v>
      </c>
      <c r="C271">
        <v>10</v>
      </c>
      <c r="D271" s="3">
        <v>4.07</v>
      </c>
      <c r="E271" s="3">
        <v>40.700000000000003</v>
      </c>
      <c r="F271">
        <v>13</v>
      </c>
      <c r="G271">
        <v>3</v>
      </c>
      <c r="H271" s="4">
        <v>0.5</v>
      </c>
      <c r="I271" t="s">
        <v>33</v>
      </c>
      <c r="J271" t="s">
        <v>33</v>
      </c>
      <c r="L271">
        <f t="shared" si="8"/>
        <v>2019</v>
      </c>
      <c r="M271" t="str">
        <f t="shared" si="9"/>
        <v>Pre-COVID</v>
      </c>
    </row>
    <row r="272" spans="1:13" x14ac:dyDescent="0.25">
      <c r="A272" s="2">
        <v>43612</v>
      </c>
      <c r="B272" t="s">
        <v>43</v>
      </c>
      <c r="C272">
        <v>2</v>
      </c>
      <c r="D272" s="3">
        <v>5.69</v>
      </c>
      <c r="E272" s="3">
        <v>11.38</v>
      </c>
      <c r="F272">
        <v>3</v>
      </c>
      <c r="G272">
        <v>1</v>
      </c>
      <c r="H272" s="4">
        <v>0.4</v>
      </c>
      <c r="I272" t="s">
        <v>33</v>
      </c>
      <c r="J272" t="s">
        <v>46</v>
      </c>
      <c r="L272">
        <f t="shared" si="8"/>
        <v>2019</v>
      </c>
      <c r="M272" t="str">
        <f t="shared" si="9"/>
        <v>Pre-COVID</v>
      </c>
    </row>
    <row r="273" spans="1:13" x14ac:dyDescent="0.25">
      <c r="A273" s="2">
        <v>43612</v>
      </c>
      <c r="B273" t="s">
        <v>44</v>
      </c>
      <c r="C273">
        <v>0</v>
      </c>
      <c r="D273" s="3">
        <v>4.9000000000000004</v>
      </c>
      <c r="E273" s="3">
        <v>0</v>
      </c>
      <c r="F273">
        <v>3</v>
      </c>
      <c r="G273">
        <v>3</v>
      </c>
      <c r="H273" s="4">
        <v>0.2</v>
      </c>
      <c r="I273" t="s">
        <v>33</v>
      </c>
      <c r="J273" t="s">
        <v>33</v>
      </c>
      <c r="L273">
        <f t="shared" si="8"/>
        <v>2019</v>
      </c>
      <c r="M273" t="str">
        <f t="shared" si="9"/>
        <v>Pre-COVID</v>
      </c>
    </row>
    <row r="274" spans="1:13" x14ac:dyDescent="0.25">
      <c r="A274" s="2">
        <v>43612</v>
      </c>
      <c r="B274" t="s">
        <v>45</v>
      </c>
      <c r="C274">
        <v>1</v>
      </c>
      <c r="D274" s="3">
        <v>14.76</v>
      </c>
      <c r="E274" s="3">
        <v>14.76</v>
      </c>
      <c r="F274">
        <v>3</v>
      </c>
      <c r="G274">
        <v>2</v>
      </c>
      <c r="H274" s="4">
        <v>0.6</v>
      </c>
      <c r="I274" t="s">
        <v>46</v>
      </c>
      <c r="J274" t="s">
        <v>33</v>
      </c>
      <c r="L274">
        <f t="shared" si="8"/>
        <v>2019</v>
      </c>
      <c r="M274" t="str">
        <f t="shared" si="9"/>
        <v>Pre-COVID</v>
      </c>
    </row>
    <row r="275" spans="1:13" x14ac:dyDescent="0.25">
      <c r="A275" s="2">
        <v>43619</v>
      </c>
      <c r="B275" t="s">
        <v>32</v>
      </c>
      <c r="C275">
        <v>15</v>
      </c>
      <c r="D275" s="3">
        <v>6.67</v>
      </c>
      <c r="E275" s="3">
        <v>100.05</v>
      </c>
      <c r="F275">
        <v>24</v>
      </c>
      <c r="G275">
        <v>12</v>
      </c>
      <c r="H275" s="4">
        <v>1</v>
      </c>
      <c r="I275" t="s">
        <v>33</v>
      </c>
      <c r="J275" t="s">
        <v>33</v>
      </c>
      <c r="L275">
        <f t="shared" si="8"/>
        <v>2019</v>
      </c>
      <c r="M275" t="str">
        <f t="shared" si="9"/>
        <v>Pre-COVID</v>
      </c>
    </row>
    <row r="276" spans="1:13" x14ac:dyDescent="0.25">
      <c r="A276" s="2">
        <v>43619</v>
      </c>
      <c r="B276" t="s">
        <v>34</v>
      </c>
      <c r="C276">
        <v>12</v>
      </c>
      <c r="D276" s="3">
        <v>7.02</v>
      </c>
      <c r="E276" s="3">
        <v>84.24</v>
      </c>
      <c r="F276">
        <v>13</v>
      </c>
      <c r="G276">
        <v>2</v>
      </c>
      <c r="H276" s="4">
        <v>0.1</v>
      </c>
      <c r="I276" t="s">
        <v>33</v>
      </c>
      <c r="J276" t="s">
        <v>33</v>
      </c>
      <c r="L276">
        <f t="shared" si="8"/>
        <v>2019</v>
      </c>
      <c r="M276" t="str">
        <f t="shared" si="9"/>
        <v>Pre-COVID</v>
      </c>
    </row>
    <row r="277" spans="1:13" x14ac:dyDescent="0.25">
      <c r="A277" s="2">
        <v>43619</v>
      </c>
      <c r="B277" t="s">
        <v>35</v>
      </c>
      <c r="C277">
        <v>7</v>
      </c>
      <c r="D277" s="3">
        <v>6.19</v>
      </c>
      <c r="E277" s="3">
        <v>43.33</v>
      </c>
      <c r="F277">
        <v>9</v>
      </c>
      <c r="G277">
        <v>3</v>
      </c>
      <c r="H277" s="4">
        <v>1.1000000000000001</v>
      </c>
      <c r="I277" t="s">
        <v>33</v>
      </c>
      <c r="J277" t="s">
        <v>33</v>
      </c>
      <c r="L277">
        <f t="shared" si="8"/>
        <v>2019</v>
      </c>
      <c r="M277" t="str">
        <f t="shared" si="9"/>
        <v>Pre-COVID</v>
      </c>
    </row>
    <row r="278" spans="1:13" x14ac:dyDescent="0.25">
      <c r="A278" s="2">
        <v>43619</v>
      </c>
      <c r="B278" t="s">
        <v>36</v>
      </c>
      <c r="C278">
        <v>10</v>
      </c>
      <c r="D278" s="3">
        <v>6.1</v>
      </c>
      <c r="E278" s="3">
        <v>61</v>
      </c>
      <c r="F278">
        <v>11</v>
      </c>
      <c r="G278">
        <v>2</v>
      </c>
      <c r="H278" s="4">
        <v>1</v>
      </c>
      <c r="I278" t="s">
        <v>33</v>
      </c>
      <c r="J278" t="s">
        <v>33</v>
      </c>
      <c r="L278">
        <f t="shared" si="8"/>
        <v>2019</v>
      </c>
      <c r="M278" t="str">
        <f t="shared" si="9"/>
        <v>Pre-COVID</v>
      </c>
    </row>
    <row r="279" spans="1:13" x14ac:dyDescent="0.25">
      <c r="A279" s="2">
        <v>43619</v>
      </c>
      <c r="B279" t="s">
        <v>37</v>
      </c>
      <c r="C279">
        <v>21</v>
      </c>
      <c r="D279" s="3">
        <v>3.21</v>
      </c>
      <c r="E279" s="3">
        <v>67.41</v>
      </c>
      <c r="F279">
        <v>23</v>
      </c>
      <c r="G279">
        <v>3</v>
      </c>
      <c r="H279" s="4">
        <v>0</v>
      </c>
      <c r="I279" t="s">
        <v>33</v>
      </c>
      <c r="J279" t="s">
        <v>33</v>
      </c>
      <c r="L279">
        <f t="shared" si="8"/>
        <v>2019</v>
      </c>
      <c r="M279" t="str">
        <f t="shared" si="9"/>
        <v>Pre-COVID</v>
      </c>
    </row>
    <row r="280" spans="1:13" x14ac:dyDescent="0.25">
      <c r="A280" s="2">
        <v>43619</v>
      </c>
      <c r="B280" t="s">
        <v>38</v>
      </c>
      <c r="C280">
        <v>11</v>
      </c>
      <c r="D280" s="3">
        <v>8.67</v>
      </c>
      <c r="E280" s="3">
        <v>95.37</v>
      </c>
      <c r="F280">
        <v>17</v>
      </c>
      <c r="G280">
        <v>9</v>
      </c>
      <c r="H280" s="4">
        <v>1</v>
      </c>
      <c r="I280" t="s">
        <v>33</v>
      </c>
      <c r="J280" t="s">
        <v>33</v>
      </c>
      <c r="L280">
        <f t="shared" si="8"/>
        <v>2019</v>
      </c>
      <c r="M280" t="str">
        <f t="shared" si="9"/>
        <v>Pre-COVID</v>
      </c>
    </row>
    <row r="281" spans="1:13" x14ac:dyDescent="0.25">
      <c r="A281" s="2">
        <v>43619</v>
      </c>
      <c r="B281" t="s">
        <v>39</v>
      </c>
      <c r="C281">
        <v>9</v>
      </c>
      <c r="D281" s="3">
        <v>11.12</v>
      </c>
      <c r="E281" s="3">
        <v>100.08</v>
      </c>
      <c r="F281">
        <v>12</v>
      </c>
      <c r="G281">
        <v>4</v>
      </c>
      <c r="H281" s="4">
        <v>0.3</v>
      </c>
      <c r="I281" t="s">
        <v>33</v>
      </c>
      <c r="J281" t="s">
        <v>33</v>
      </c>
      <c r="L281">
        <f t="shared" si="8"/>
        <v>2019</v>
      </c>
      <c r="M281" t="str">
        <f t="shared" si="9"/>
        <v>Pre-COVID</v>
      </c>
    </row>
    <row r="282" spans="1:13" x14ac:dyDescent="0.25">
      <c r="A282" s="2">
        <v>43619</v>
      </c>
      <c r="B282" t="s">
        <v>40</v>
      </c>
      <c r="C282">
        <v>11</v>
      </c>
      <c r="D282" s="3">
        <v>0.67</v>
      </c>
      <c r="E282" s="3">
        <v>7.37</v>
      </c>
      <c r="F282">
        <v>12</v>
      </c>
      <c r="G282">
        <v>2</v>
      </c>
      <c r="H282" s="4">
        <v>0.8</v>
      </c>
      <c r="I282" t="s">
        <v>33</v>
      </c>
      <c r="J282" t="s">
        <v>33</v>
      </c>
      <c r="L282">
        <f t="shared" si="8"/>
        <v>2019</v>
      </c>
      <c r="M282" t="str">
        <f t="shared" si="9"/>
        <v>Pre-COVID</v>
      </c>
    </row>
    <row r="283" spans="1:13" x14ac:dyDescent="0.25">
      <c r="A283" s="2">
        <v>43619</v>
      </c>
      <c r="B283" t="s">
        <v>41</v>
      </c>
      <c r="C283">
        <v>5</v>
      </c>
      <c r="D283" s="3">
        <v>1.41</v>
      </c>
      <c r="E283" s="3">
        <v>7.05</v>
      </c>
      <c r="F283">
        <v>7</v>
      </c>
      <c r="G283">
        <v>2</v>
      </c>
      <c r="H283" s="4">
        <v>0.7</v>
      </c>
      <c r="I283" t="s">
        <v>33</v>
      </c>
      <c r="J283" t="s">
        <v>33</v>
      </c>
      <c r="L283">
        <f t="shared" si="8"/>
        <v>2019</v>
      </c>
      <c r="M283" t="str">
        <f t="shared" si="9"/>
        <v>Pre-COVID</v>
      </c>
    </row>
    <row r="284" spans="1:13" x14ac:dyDescent="0.25">
      <c r="A284" s="2">
        <v>43619</v>
      </c>
      <c r="B284" t="s">
        <v>42</v>
      </c>
      <c r="C284">
        <v>8</v>
      </c>
      <c r="D284" s="3">
        <v>4.3499999999999996</v>
      </c>
      <c r="E284" s="3">
        <v>34.799999999999997</v>
      </c>
      <c r="F284">
        <v>13</v>
      </c>
      <c r="G284">
        <v>7</v>
      </c>
      <c r="H284" s="4">
        <v>0</v>
      </c>
      <c r="I284" t="s">
        <v>33</v>
      </c>
      <c r="J284" t="s">
        <v>33</v>
      </c>
      <c r="L284">
        <f t="shared" si="8"/>
        <v>2019</v>
      </c>
      <c r="M284" t="str">
        <f t="shared" si="9"/>
        <v>Pre-COVID</v>
      </c>
    </row>
    <row r="285" spans="1:13" x14ac:dyDescent="0.25">
      <c r="A285" s="2">
        <v>43619</v>
      </c>
      <c r="B285" t="s">
        <v>43</v>
      </c>
      <c r="C285">
        <v>5</v>
      </c>
      <c r="D285" s="3">
        <v>5.28</v>
      </c>
      <c r="E285" s="3">
        <v>26.4</v>
      </c>
      <c r="F285">
        <v>8</v>
      </c>
      <c r="G285">
        <v>4</v>
      </c>
      <c r="H285" s="4">
        <v>0</v>
      </c>
      <c r="I285" t="s">
        <v>33</v>
      </c>
      <c r="J285" t="s">
        <v>33</v>
      </c>
      <c r="L285">
        <f t="shared" si="8"/>
        <v>2019</v>
      </c>
      <c r="M285" t="str">
        <f t="shared" si="9"/>
        <v>Pre-COVID</v>
      </c>
    </row>
    <row r="286" spans="1:13" x14ac:dyDescent="0.25">
      <c r="A286" s="2">
        <v>43619</v>
      </c>
      <c r="B286" t="s">
        <v>44</v>
      </c>
      <c r="C286">
        <v>0</v>
      </c>
      <c r="D286" s="3">
        <v>4.8</v>
      </c>
      <c r="E286" s="3">
        <v>0</v>
      </c>
      <c r="F286">
        <v>3</v>
      </c>
      <c r="G286">
        <v>3</v>
      </c>
      <c r="H286" s="4">
        <v>1.9</v>
      </c>
      <c r="I286" t="s">
        <v>33</v>
      </c>
      <c r="J286" t="s">
        <v>33</v>
      </c>
      <c r="L286">
        <f t="shared" si="8"/>
        <v>2019</v>
      </c>
      <c r="M286" t="str">
        <f t="shared" si="9"/>
        <v>Pre-COVID</v>
      </c>
    </row>
    <row r="287" spans="1:13" x14ac:dyDescent="0.25">
      <c r="A287" s="2">
        <v>43619</v>
      </c>
      <c r="B287" t="s">
        <v>45</v>
      </c>
      <c r="C287">
        <v>0</v>
      </c>
      <c r="D287" s="3">
        <v>14.48</v>
      </c>
      <c r="E287" s="3">
        <v>0</v>
      </c>
      <c r="F287">
        <v>3</v>
      </c>
      <c r="G287">
        <v>3</v>
      </c>
      <c r="H287" s="4">
        <v>1.1000000000000001</v>
      </c>
      <c r="I287" t="s">
        <v>33</v>
      </c>
      <c r="J287" t="s">
        <v>33</v>
      </c>
      <c r="L287">
        <f t="shared" si="8"/>
        <v>2019</v>
      </c>
      <c r="M287" t="str">
        <f t="shared" si="9"/>
        <v>Pre-COVID</v>
      </c>
    </row>
    <row r="288" spans="1:13" x14ac:dyDescent="0.25">
      <c r="A288" s="2">
        <v>43626</v>
      </c>
      <c r="B288" t="s">
        <v>32</v>
      </c>
      <c r="C288">
        <v>14</v>
      </c>
      <c r="D288" s="3">
        <v>7.08</v>
      </c>
      <c r="E288" s="3">
        <v>99.12</v>
      </c>
      <c r="F288">
        <v>14</v>
      </c>
      <c r="G288">
        <v>1</v>
      </c>
      <c r="H288" s="4">
        <v>1.5</v>
      </c>
      <c r="I288" t="s">
        <v>33</v>
      </c>
      <c r="J288" t="s">
        <v>33</v>
      </c>
      <c r="L288">
        <f t="shared" si="8"/>
        <v>2019</v>
      </c>
      <c r="M288" t="str">
        <f t="shared" si="9"/>
        <v>Pre-COVID</v>
      </c>
    </row>
    <row r="289" spans="1:13" x14ac:dyDescent="0.25">
      <c r="A289" s="2">
        <v>43626</v>
      </c>
      <c r="B289" t="s">
        <v>34</v>
      </c>
      <c r="C289">
        <v>12</v>
      </c>
      <c r="D289" s="3">
        <v>7.16</v>
      </c>
      <c r="E289" s="3">
        <v>85.92</v>
      </c>
      <c r="F289">
        <v>13</v>
      </c>
      <c r="G289">
        <v>2</v>
      </c>
      <c r="H289" s="4">
        <v>1.3</v>
      </c>
      <c r="I289" t="s">
        <v>33</v>
      </c>
      <c r="J289" t="s">
        <v>33</v>
      </c>
      <c r="L289">
        <f t="shared" si="8"/>
        <v>2019</v>
      </c>
      <c r="M289" t="str">
        <f t="shared" si="9"/>
        <v>Pre-COVID</v>
      </c>
    </row>
    <row r="290" spans="1:13" x14ac:dyDescent="0.25">
      <c r="A290" s="2">
        <v>43626</v>
      </c>
      <c r="B290" t="s">
        <v>35</v>
      </c>
      <c r="C290">
        <v>7</v>
      </c>
      <c r="D290" s="3">
        <v>5.7</v>
      </c>
      <c r="E290" s="3">
        <v>39.9</v>
      </c>
      <c r="F290">
        <v>8</v>
      </c>
      <c r="G290">
        <v>1</v>
      </c>
      <c r="H290" s="4">
        <v>0.7</v>
      </c>
      <c r="I290" t="s">
        <v>33</v>
      </c>
      <c r="J290" t="s">
        <v>33</v>
      </c>
      <c r="L290">
        <f t="shared" si="8"/>
        <v>2019</v>
      </c>
      <c r="M290" t="str">
        <f t="shared" si="9"/>
        <v>Pre-COVID</v>
      </c>
    </row>
    <row r="291" spans="1:13" x14ac:dyDescent="0.25">
      <c r="A291" s="2">
        <v>43626</v>
      </c>
      <c r="B291" t="s">
        <v>36</v>
      </c>
      <c r="C291">
        <v>7</v>
      </c>
      <c r="D291" s="3">
        <v>6.13</v>
      </c>
      <c r="E291" s="3">
        <v>42.91</v>
      </c>
      <c r="F291">
        <v>10</v>
      </c>
      <c r="G291">
        <v>5</v>
      </c>
      <c r="H291" s="4">
        <v>0.9</v>
      </c>
      <c r="I291" t="s">
        <v>33</v>
      </c>
      <c r="J291" t="s">
        <v>33</v>
      </c>
      <c r="L291">
        <f t="shared" si="8"/>
        <v>2019</v>
      </c>
      <c r="M291" t="str">
        <f t="shared" si="9"/>
        <v>Pre-COVID</v>
      </c>
    </row>
    <row r="292" spans="1:13" x14ac:dyDescent="0.25">
      <c r="A292" s="2">
        <v>43626</v>
      </c>
      <c r="B292" t="s">
        <v>37</v>
      </c>
      <c r="C292">
        <v>22</v>
      </c>
      <c r="D292" s="3">
        <v>3.26</v>
      </c>
      <c r="E292" s="3">
        <v>71.72</v>
      </c>
      <c r="F292">
        <v>24</v>
      </c>
      <c r="G292">
        <v>6</v>
      </c>
      <c r="H292" s="4">
        <v>0.6</v>
      </c>
      <c r="I292" t="s">
        <v>33</v>
      </c>
      <c r="J292" t="s">
        <v>33</v>
      </c>
      <c r="L292">
        <f t="shared" si="8"/>
        <v>2019</v>
      </c>
      <c r="M292" t="str">
        <f t="shared" si="9"/>
        <v>Pre-COVID</v>
      </c>
    </row>
    <row r="293" spans="1:13" x14ac:dyDescent="0.25">
      <c r="A293" s="2">
        <v>43626</v>
      </c>
      <c r="B293" t="s">
        <v>38</v>
      </c>
      <c r="C293">
        <v>10</v>
      </c>
      <c r="D293" s="3">
        <v>8.7100000000000009</v>
      </c>
      <c r="E293" s="3">
        <v>87.1</v>
      </c>
      <c r="F293">
        <v>13</v>
      </c>
      <c r="G293">
        <v>4</v>
      </c>
      <c r="H293" s="4">
        <v>0.8</v>
      </c>
      <c r="I293" t="s">
        <v>33</v>
      </c>
      <c r="J293" t="s">
        <v>33</v>
      </c>
      <c r="L293">
        <f t="shared" si="8"/>
        <v>2019</v>
      </c>
      <c r="M293" t="str">
        <f t="shared" si="9"/>
        <v>Pre-COVID</v>
      </c>
    </row>
    <row r="294" spans="1:13" x14ac:dyDescent="0.25">
      <c r="A294" s="2">
        <v>43626</v>
      </c>
      <c r="B294" t="s">
        <v>39</v>
      </c>
      <c r="C294">
        <v>17</v>
      </c>
      <c r="D294" s="3">
        <v>11.75</v>
      </c>
      <c r="E294" s="3">
        <v>199.75</v>
      </c>
      <c r="F294">
        <v>18</v>
      </c>
      <c r="G294">
        <v>2</v>
      </c>
      <c r="H294" s="4">
        <v>0.6</v>
      </c>
      <c r="I294" t="s">
        <v>33</v>
      </c>
      <c r="J294" t="s">
        <v>33</v>
      </c>
      <c r="L294">
        <f t="shared" si="8"/>
        <v>2019</v>
      </c>
      <c r="M294" t="str">
        <f t="shared" si="9"/>
        <v>Pre-COVID</v>
      </c>
    </row>
    <row r="295" spans="1:13" x14ac:dyDescent="0.25">
      <c r="A295" s="2">
        <v>43626</v>
      </c>
      <c r="B295" t="s">
        <v>40</v>
      </c>
      <c r="C295">
        <v>10</v>
      </c>
      <c r="D295" s="3">
        <v>0.66</v>
      </c>
      <c r="E295" s="3">
        <v>6.6</v>
      </c>
      <c r="F295">
        <v>16</v>
      </c>
      <c r="G295">
        <v>8</v>
      </c>
      <c r="H295" s="4">
        <v>0.7</v>
      </c>
      <c r="I295" t="s">
        <v>33</v>
      </c>
      <c r="J295" t="s">
        <v>33</v>
      </c>
      <c r="L295">
        <f t="shared" si="8"/>
        <v>2019</v>
      </c>
      <c r="M295" t="str">
        <f t="shared" si="9"/>
        <v>Pre-COVID</v>
      </c>
    </row>
    <row r="296" spans="1:13" x14ac:dyDescent="0.25">
      <c r="A296" s="2">
        <v>43626</v>
      </c>
      <c r="B296" t="s">
        <v>41</v>
      </c>
      <c r="C296">
        <v>5</v>
      </c>
      <c r="D296" s="3">
        <v>1.37</v>
      </c>
      <c r="E296" s="3">
        <v>6.85</v>
      </c>
      <c r="F296">
        <v>8</v>
      </c>
      <c r="G296">
        <v>3</v>
      </c>
      <c r="H296" s="4">
        <v>0.4</v>
      </c>
      <c r="I296" t="s">
        <v>33</v>
      </c>
      <c r="J296" t="s">
        <v>33</v>
      </c>
      <c r="L296">
        <f t="shared" si="8"/>
        <v>2019</v>
      </c>
      <c r="M296" t="str">
        <f t="shared" si="9"/>
        <v>Pre-COVID</v>
      </c>
    </row>
    <row r="297" spans="1:13" x14ac:dyDescent="0.25">
      <c r="A297" s="2">
        <v>43626</v>
      </c>
      <c r="B297" t="s">
        <v>42</v>
      </c>
      <c r="C297">
        <v>9</v>
      </c>
      <c r="D297" s="3">
        <v>4.28</v>
      </c>
      <c r="E297" s="3">
        <v>38.520000000000003</v>
      </c>
      <c r="F297">
        <v>10</v>
      </c>
      <c r="G297">
        <v>3</v>
      </c>
      <c r="H297" s="4">
        <v>0.3</v>
      </c>
      <c r="I297" t="s">
        <v>33</v>
      </c>
      <c r="J297" t="s">
        <v>33</v>
      </c>
      <c r="L297">
        <f t="shared" si="8"/>
        <v>2019</v>
      </c>
      <c r="M297" t="str">
        <f t="shared" si="9"/>
        <v>Pre-COVID</v>
      </c>
    </row>
    <row r="298" spans="1:13" x14ac:dyDescent="0.25">
      <c r="A298" s="2">
        <v>43626</v>
      </c>
      <c r="B298" t="s">
        <v>43</v>
      </c>
      <c r="C298">
        <v>5</v>
      </c>
      <c r="D298" s="3">
        <v>5.68</v>
      </c>
      <c r="E298" s="3">
        <v>28.4</v>
      </c>
      <c r="F298">
        <v>6</v>
      </c>
      <c r="G298">
        <v>2</v>
      </c>
      <c r="H298" s="4">
        <v>0.8</v>
      </c>
      <c r="I298" t="s">
        <v>33</v>
      </c>
      <c r="J298" t="s">
        <v>33</v>
      </c>
      <c r="L298">
        <f t="shared" si="8"/>
        <v>2019</v>
      </c>
      <c r="M298" t="str">
        <f t="shared" si="9"/>
        <v>Pre-COVID</v>
      </c>
    </row>
    <row r="299" spans="1:13" x14ac:dyDescent="0.25">
      <c r="A299" s="2">
        <v>43626</v>
      </c>
      <c r="B299" t="s">
        <v>44</v>
      </c>
      <c r="C299">
        <v>0</v>
      </c>
      <c r="D299" s="3">
        <v>4.87</v>
      </c>
      <c r="E299" s="3">
        <v>0</v>
      </c>
      <c r="F299">
        <v>3</v>
      </c>
      <c r="G299">
        <v>3</v>
      </c>
      <c r="H299" s="4">
        <v>1.2</v>
      </c>
      <c r="I299" t="s">
        <v>33</v>
      </c>
      <c r="J299" t="s">
        <v>33</v>
      </c>
      <c r="L299">
        <f t="shared" si="8"/>
        <v>2019</v>
      </c>
      <c r="M299" t="str">
        <f t="shared" si="9"/>
        <v>Pre-COVID</v>
      </c>
    </row>
    <row r="300" spans="1:13" x14ac:dyDescent="0.25">
      <c r="A300" s="2">
        <v>43626</v>
      </c>
      <c r="B300" t="s">
        <v>45</v>
      </c>
      <c r="C300">
        <v>0</v>
      </c>
      <c r="D300" s="3">
        <v>15.7</v>
      </c>
      <c r="E300" s="3">
        <v>0</v>
      </c>
      <c r="F300">
        <v>3</v>
      </c>
      <c r="G300">
        <v>3</v>
      </c>
      <c r="H300" s="4">
        <v>1.1000000000000001</v>
      </c>
      <c r="I300" t="s">
        <v>33</v>
      </c>
      <c r="J300" t="s">
        <v>33</v>
      </c>
      <c r="L300">
        <f t="shared" si="8"/>
        <v>2019</v>
      </c>
      <c r="M300" t="str">
        <f t="shared" si="9"/>
        <v>Pre-COVID</v>
      </c>
    </row>
    <row r="301" spans="1:13" x14ac:dyDescent="0.25">
      <c r="A301" s="2">
        <v>43633</v>
      </c>
      <c r="B301" t="s">
        <v>32</v>
      </c>
      <c r="C301">
        <v>13</v>
      </c>
      <c r="D301" s="3">
        <v>6.86</v>
      </c>
      <c r="E301" s="3">
        <v>89.18</v>
      </c>
      <c r="F301">
        <v>15</v>
      </c>
      <c r="G301">
        <v>4</v>
      </c>
      <c r="H301" s="4">
        <v>0.8</v>
      </c>
      <c r="I301" t="s">
        <v>33</v>
      </c>
      <c r="J301" t="s">
        <v>33</v>
      </c>
      <c r="L301">
        <f t="shared" si="8"/>
        <v>2019</v>
      </c>
      <c r="M301" t="str">
        <f t="shared" si="9"/>
        <v>Pre-COVID</v>
      </c>
    </row>
    <row r="302" spans="1:13" x14ac:dyDescent="0.25">
      <c r="A302" s="2">
        <v>43633</v>
      </c>
      <c r="B302" t="s">
        <v>34</v>
      </c>
      <c r="C302">
        <v>13</v>
      </c>
      <c r="D302" s="3">
        <v>7.42</v>
      </c>
      <c r="E302" s="3">
        <v>96.46</v>
      </c>
      <c r="F302">
        <v>15</v>
      </c>
      <c r="G302">
        <v>3</v>
      </c>
      <c r="H302" s="4">
        <v>1</v>
      </c>
      <c r="I302" t="s">
        <v>33</v>
      </c>
      <c r="J302" t="s">
        <v>33</v>
      </c>
      <c r="L302">
        <f t="shared" si="8"/>
        <v>2019</v>
      </c>
      <c r="M302" t="str">
        <f t="shared" si="9"/>
        <v>Pre-COVID</v>
      </c>
    </row>
    <row r="303" spans="1:13" x14ac:dyDescent="0.25">
      <c r="A303" s="2">
        <v>43633</v>
      </c>
      <c r="B303" t="s">
        <v>35</v>
      </c>
      <c r="C303">
        <v>9</v>
      </c>
      <c r="D303" s="3">
        <v>6</v>
      </c>
      <c r="E303" s="3">
        <v>54</v>
      </c>
      <c r="F303">
        <v>12</v>
      </c>
      <c r="G303">
        <v>3</v>
      </c>
      <c r="H303" s="4">
        <v>0.2</v>
      </c>
      <c r="I303" t="s">
        <v>33</v>
      </c>
      <c r="J303" t="s">
        <v>33</v>
      </c>
      <c r="L303">
        <f t="shared" si="8"/>
        <v>2019</v>
      </c>
      <c r="M303" t="str">
        <f t="shared" si="9"/>
        <v>Pre-COVID</v>
      </c>
    </row>
    <row r="304" spans="1:13" x14ac:dyDescent="0.25">
      <c r="A304" s="2">
        <v>43633</v>
      </c>
      <c r="B304" t="s">
        <v>36</v>
      </c>
      <c r="C304">
        <v>6</v>
      </c>
      <c r="D304" s="3">
        <v>6.46</v>
      </c>
      <c r="E304" s="3">
        <v>38.76</v>
      </c>
      <c r="F304">
        <v>8</v>
      </c>
      <c r="G304">
        <v>3</v>
      </c>
      <c r="H304" s="4">
        <v>1.3</v>
      </c>
      <c r="I304" t="s">
        <v>33</v>
      </c>
      <c r="J304" t="s">
        <v>33</v>
      </c>
      <c r="L304">
        <f t="shared" si="8"/>
        <v>2019</v>
      </c>
      <c r="M304" t="str">
        <f t="shared" si="9"/>
        <v>Pre-COVID</v>
      </c>
    </row>
    <row r="305" spans="1:13" x14ac:dyDescent="0.25">
      <c r="A305" s="2">
        <v>43633</v>
      </c>
      <c r="B305" t="s">
        <v>37</v>
      </c>
      <c r="C305">
        <v>18</v>
      </c>
      <c r="D305" s="3">
        <v>3.2</v>
      </c>
      <c r="E305" s="3">
        <v>57.6</v>
      </c>
      <c r="F305">
        <v>23</v>
      </c>
      <c r="G305">
        <v>6</v>
      </c>
      <c r="H305" s="4">
        <v>0.6</v>
      </c>
      <c r="I305" t="s">
        <v>33</v>
      </c>
      <c r="J305" t="s">
        <v>33</v>
      </c>
      <c r="L305">
        <f t="shared" si="8"/>
        <v>2019</v>
      </c>
      <c r="M305" t="str">
        <f t="shared" si="9"/>
        <v>Pre-COVID</v>
      </c>
    </row>
    <row r="306" spans="1:13" x14ac:dyDescent="0.25">
      <c r="A306" s="2">
        <v>43633</v>
      </c>
      <c r="B306" t="s">
        <v>38</v>
      </c>
      <c r="C306">
        <v>12</v>
      </c>
      <c r="D306" s="3">
        <v>8.17</v>
      </c>
      <c r="E306" s="3">
        <v>98.04</v>
      </c>
      <c r="F306">
        <v>19</v>
      </c>
      <c r="G306">
        <v>9</v>
      </c>
      <c r="H306" s="4">
        <v>1.3</v>
      </c>
      <c r="I306" t="s">
        <v>33</v>
      </c>
      <c r="J306" t="s">
        <v>33</v>
      </c>
      <c r="L306">
        <f t="shared" si="8"/>
        <v>2019</v>
      </c>
      <c r="M306" t="str">
        <f t="shared" si="9"/>
        <v>Pre-COVID</v>
      </c>
    </row>
    <row r="307" spans="1:13" x14ac:dyDescent="0.25">
      <c r="A307" s="2">
        <v>43633</v>
      </c>
      <c r="B307" t="s">
        <v>39</v>
      </c>
      <c r="C307">
        <v>16</v>
      </c>
      <c r="D307" s="3">
        <v>11.3</v>
      </c>
      <c r="E307" s="3">
        <v>180.8</v>
      </c>
      <c r="F307">
        <v>24</v>
      </c>
      <c r="G307">
        <v>9</v>
      </c>
      <c r="H307" s="4">
        <v>0.7</v>
      </c>
      <c r="I307" t="s">
        <v>33</v>
      </c>
      <c r="J307" t="s">
        <v>33</v>
      </c>
      <c r="L307">
        <f t="shared" si="8"/>
        <v>2019</v>
      </c>
      <c r="M307" t="str">
        <f t="shared" si="9"/>
        <v>Pre-COVID</v>
      </c>
    </row>
    <row r="308" spans="1:13" x14ac:dyDescent="0.25">
      <c r="A308" s="2">
        <v>43633</v>
      </c>
      <c r="B308" t="s">
        <v>40</v>
      </c>
      <c r="C308">
        <v>9</v>
      </c>
      <c r="D308" s="3">
        <v>0.68</v>
      </c>
      <c r="E308" s="3">
        <v>6.12</v>
      </c>
      <c r="F308">
        <v>12</v>
      </c>
      <c r="G308">
        <v>4</v>
      </c>
      <c r="H308" s="4">
        <v>1.1000000000000001</v>
      </c>
      <c r="I308" t="s">
        <v>33</v>
      </c>
      <c r="J308" t="s">
        <v>33</v>
      </c>
      <c r="L308">
        <f t="shared" si="8"/>
        <v>2019</v>
      </c>
      <c r="M308" t="str">
        <f t="shared" si="9"/>
        <v>Pre-COVID</v>
      </c>
    </row>
    <row r="309" spans="1:13" x14ac:dyDescent="0.25">
      <c r="A309" s="2">
        <v>43633</v>
      </c>
      <c r="B309" t="s">
        <v>41</v>
      </c>
      <c r="C309">
        <v>7</v>
      </c>
      <c r="D309" s="3">
        <v>1.38</v>
      </c>
      <c r="E309" s="3">
        <v>9.66</v>
      </c>
      <c r="F309">
        <v>9</v>
      </c>
      <c r="G309">
        <v>2</v>
      </c>
      <c r="H309" s="4">
        <v>0.7</v>
      </c>
      <c r="I309" t="s">
        <v>33</v>
      </c>
      <c r="J309" t="s">
        <v>33</v>
      </c>
      <c r="L309">
        <f t="shared" si="8"/>
        <v>2019</v>
      </c>
      <c r="M309" t="str">
        <f t="shared" si="9"/>
        <v>Pre-COVID</v>
      </c>
    </row>
    <row r="310" spans="1:13" x14ac:dyDescent="0.25">
      <c r="A310" s="2">
        <v>43633</v>
      </c>
      <c r="B310" t="s">
        <v>42</v>
      </c>
      <c r="C310">
        <v>5</v>
      </c>
      <c r="D310" s="3">
        <v>4.3499999999999996</v>
      </c>
      <c r="E310" s="3">
        <v>21.75</v>
      </c>
      <c r="F310">
        <v>8</v>
      </c>
      <c r="G310">
        <v>4</v>
      </c>
      <c r="H310" s="4">
        <v>0.6</v>
      </c>
      <c r="I310" t="s">
        <v>33</v>
      </c>
      <c r="J310" t="s">
        <v>33</v>
      </c>
      <c r="L310">
        <f t="shared" si="8"/>
        <v>2019</v>
      </c>
      <c r="M310" t="str">
        <f t="shared" si="9"/>
        <v>Pre-COVID</v>
      </c>
    </row>
    <row r="311" spans="1:13" x14ac:dyDescent="0.25">
      <c r="A311" s="2">
        <v>43633</v>
      </c>
      <c r="B311" t="s">
        <v>43</v>
      </c>
      <c r="C311">
        <v>4</v>
      </c>
      <c r="D311" s="3">
        <v>5.32</v>
      </c>
      <c r="E311" s="3">
        <v>21.28</v>
      </c>
      <c r="F311">
        <v>5</v>
      </c>
      <c r="G311">
        <v>2</v>
      </c>
      <c r="H311" s="4">
        <v>1.7</v>
      </c>
      <c r="I311" t="s">
        <v>33</v>
      </c>
      <c r="J311" t="s">
        <v>46</v>
      </c>
      <c r="L311">
        <f t="shared" si="8"/>
        <v>2019</v>
      </c>
      <c r="M311" t="str">
        <f t="shared" si="9"/>
        <v>Pre-COVID</v>
      </c>
    </row>
    <row r="312" spans="1:13" x14ac:dyDescent="0.25">
      <c r="A312" s="2">
        <v>43633</v>
      </c>
      <c r="B312" t="s">
        <v>44</v>
      </c>
      <c r="C312">
        <v>0</v>
      </c>
      <c r="D312" s="3">
        <v>4.93</v>
      </c>
      <c r="E312" s="3">
        <v>0</v>
      </c>
      <c r="F312">
        <v>3</v>
      </c>
      <c r="G312">
        <v>3</v>
      </c>
      <c r="H312" s="4">
        <v>0.5</v>
      </c>
      <c r="I312" t="s">
        <v>33</v>
      </c>
      <c r="J312" t="s">
        <v>33</v>
      </c>
      <c r="L312">
        <f t="shared" si="8"/>
        <v>2019</v>
      </c>
      <c r="M312" t="str">
        <f t="shared" si="9"/>
        <v>Pre-COVID</v>
      </c>
    </row>
    <row r="313" spans="1:13" x14ac:dyDescent="0.25">
      <c r="A313" s="2">
        <v>43633</v>
      </c>
      <c r="B313" t="s">
        <v>45</v>
      </c>
      <c r="C313">
        <v>0</v>
      </c>
      <c r="D313" s="3">
        <v>14.56</v>
      </c>
      <c r="E313" s="3">
        <v>0</v>
      </c>
      <c r="F313">
        <v>3</v>
      </c>
      <c r="G313">
        <v>3</v>
      </c>
      <c r="H313" s="4">
        <v>0</v>
      </c>
      <c r="I313" t="s">
        <v>33</v>
      </c>
      <c r="J313" t="s">
        <v>33</v>
      </c>
      <c r="L313">
        <f t="shared" si="8"/>
        <v>2019</v>
      </c>
      <c r="M313" t="str">
        <f t="shared" si="9"/>
        <v>Pre-COVID</v>
      </c>
    </row>
    <row r="314" spans="1:13" x14ac:dyDescent="0.25">
      <c r="A314" s="2">
        <v>43640</v>
      </c>
      <c r="B314" t="s">
        <v>32</v>
      </c>
      <c r="C314">
        <v>16</v>
      </c>
      <c r="D314" s="3">
        <v>6.95</v>
      </c>
      <c r="E314" s="3">
        <v>111.2</v>
      </c>
      <c r="F314">
        <v>19</v>
      </c>
      <c r="G314">
        <v>3</v>
      </c>
      <c r="H314" s="4">
        <v>0.2</v>
      </c>
      <c r="I314" t="s">
        <v>33</v>
      </c>
      <c r="J314" t="s">
        <v>33</v>
      </c>
      <c r="L314">
        <f t="shared" si="8"/>
        <v>2019</v>
      </c>
      <c r="M314" t="str">
        <f t="shared" si="9"/>
        <v>Pre-COVID</v>
      </c>
    </row>
    <row r="315" spans="1:13" x14ac:dyDescent="0.25">
      <c r="A315" s="2">
        <v>43640</v>
      </c>
      <c r="B315" t="s">
        <v>34</v>
      </c>
      <c r="C315">
        <v>13</v>
      </c>
      <c r="D315" s="3">
        <v>7.11</v>
      </c>
      <c r="E315" s="3">
        <v>92.43</v>
      </c>
      <c r="F315">
        <v>14</v>
      </c>
      <c r="G315">
        <v>3</v>
      </c>
      <c r="H315" s="4">
        <v>0.6</v>
      </c>
      <c r="I315" t="s">
        <v>33</v>
      </c>
      <c r="J315" t="s">
        <v>33</v>
      </c>
      <c r="L315">
        <f t="shared" si="8"/>
        <v>2019</v>
      </c>
      <c r="M315" t="str">
        <f t="shared" si="9"/>
        <v>Pre-COVID</v>
      </c>
    </row>
    <row r="316" spans="1:13" x14ac:dyDescent="0.25">
      <c r="A316" s="2">
        <v>43640</v>
      </c>
      <c r="B316" t="s">
        <v>35</v>
      </c>
      <c r="C316">
        <v>8</v>
      </c>
      <c r="D316" s="3">
        <v>6.15</v>
      </c>
      <c r="E316" s="3">
        <v>49.2</v>
      </c>
      <c r="F316">
        <v>10</v>
      </c>
      <c r="G316">
        <v>3</v>
      </c>
      <c r="H316" s="4">
        <v>0</v>
      </c>
      <c r="I316" t="s">
        <v>33</v>
      </c>
      <c r="J316" t="s">
        <v>33</v>
      </c>
      <c r="L316">
        <f t="shared" si="8"/>
        <v>2019</v>
      </c>
      <c r="M316" t="str">
        <f t="shared" si="9"/>
        <v>Pre-COVID</v>
      </c>
    </row>
    <row r="317" spans="1:13" x14ac:dyDescent="0.25">
      <c r="A317" s="2">
        <v>43640</v>
      </c>
      <c r="B317" t="s">
        <v>36</v>
      </c>
      <c r="C317">
        <v>9</v>
      </c>
      <c r="D317" s="3">
        <v>6.08</v>
      </c>
      <c r="E317" s="3">
        <v>54.72</v>
      </c>
      <c r="F317">
        <v>11</v>
      </c>
      <c r="G317">
        <v>3</v>
      </c>
      <c r="H317" s="4">
        <v>1</v>
      </c>
      <c r="I317" t="s">
        <v>33</v>
      </c>
      <c r="J317" t="s">
        <v>33</v>
      </c>
      <c r="L317">
        <f t="shared" si="8"/>
        <v>2019</v>
      </c>
      <c r="M317" t="str">
        <f t="shared" si="9"/>
        <v>Pre-COVID</v>
      </c>
    </row>
    <row r="318" spans="1:13" x14ac:dyDescent="0.25">
      <c r="A318" s="2">
        <v>43640</v>
      </c>
      <c r="B318" t="s">
        <v>37</v>
      </c>
      <c r="C318">
        <v>24</v>
      </c>
      <c r="D318" s="3">
        <v>3.11</v>
      </c>
      <c r="E318" s="3">
        <v>74.64</v>
      </c>
      <c r="F318">
        <v>35</v>
      </c>
      <c r="G318">
        <v>12</v>
      </c>
      <c r="H318" s="4">
        <v>0.8</v>
      </c>
      <c r="I318" t="s">
        <v>33</v>
      </c>
      <c r="J318" t="s">
        <v>33</v>
      </c>
      <c r="L318">
        <f t="shared" si="8"/>
        <v>2019</v>
      </c>
      <c r="M318" t="str">
        <f t="shared" si="9"/>
        <v>Pre-COVID</v>
      </c>
    </row>
    <row r="319" spans="1:13" x14ac:dyDescent="0.25">
      <c r="A319" s="2">
        <v>43640</v>
      </c>
      <c r="B319" t="s">
        <v>38</v>
      </c>
      <c r="C319">
        <v>12</v>
      </c>
      <c r="D319" s="3">
        <v>8.65</v>
      </c>
      <c r="E319" s="3">
        <v>103.8</v>
      </c>
      <c r="F319">
        <v>15</v>
      </c>
      <c r="G319">
        <v>3</v>
      </c>
      <c r="H319" s="4">
        <v>1.5</v>
      </c>
      <c r="I319" t="s">
        <v>33</v>
      </c>
      <c r="J319" t="s">
        <v>33</v>
      </c>
      <c r="L319">
        <f t="shared" si="8"/>
        <v>2019</v>
      </c>
      <c r="M319" t="str">
        <f t="shared" si="9"/>
        <v>Pre-COVID</v>
      </c>
    </row>
    <row r="320" spans="1:13" x14ac:dyDescent="0.25">
      <c r="A320" s="2">
        <v>43640</v>
      </c>
      <c r="B320" t="s">
        <v>39</v>
      </c>
      <c r="C320">
        <v>17</v>
      </c>
      <c r="D320" s="3">
        <v>11.2</v>
      </c>
      <c r="E320" s="3">
        <v>190.4</v>
      </c>
      <c r="F320">
        <v>17</v>
      </c>
      <c r="G320">
        <v>3</v>
      </c>
      <c r="H320" s="4">
        <v>1.1000000000000001</v>
      </c>
      <c r="I320" t="s">
        <v>33</v>
      </c>
      <c r="J320" t="s">
        <v>33</v>
      </c>
      <c r="L320">
        <f t="shared" si="8"/>
        <v>2019</v>
      </c>
      <c r="M320" t="str">
        <f t="shared" si="9"/>
        <v>Pre-COVID</v>
      </c>
    </row>
    <row r="321" spans="1:13" x14ac:dyDescent="0.25">
      <c r="A321" s="2">
        <v>43640</v>
      </c>
      <c r="B321" t="s">
        <v>40</v>
      </c>
      <c r="C321">
        <v>8</v>
      </c>
      <c r="D321" s="3">
        <v>0.66</v>
      </c>
      <c r="E321" s="3">
        <v>5.28</v>
      </c>
      <c r="F321">
        <v>13</v>
      </c>
      <c r="G321">
        <v>6</v>
      </c>
      <c r="H321" s="4">
        <v>0.6</v>
      </c>
      <c r="I321" t="s">
        <v>33</v>
      </c>
      <c r="J321" t="s">
        <v>33</v>
      </c>
      <c r="L321">
        <f t="shared" si="8"/>
        <v>2019</v>
      </c>
      <c r="M321" t="str">
        <f t="shared" si="9"/>
        <v>Pre-COVID</v>
      </c>
    </row>
    <row r="322" spans="1:13" x14ac:dyDescent="0.25">
      <c r="A322" s="2">
        <v>43640</v>
      </c>
      <c r="B322" t="s">
        <v>41</v>
      </c>
      <c r="C322">
        <v>5</v>
      </c>
      <c r="D322" s="3">
        <v>1.41</v>
      </c>
      <c r="E322" s="3">
        <v>7.05</v>
      </c>
      <c r="F322">
        <v>7</v>
      </c>
      <c r="G322">
        <v>3</v>
      </c>
      <c r="H322" s="4">
        <v>0.7</v>
      </c>
      <c r="I322" t="s">
        <v>33</v>
      </c>
      <c r="J322" t="s">
        <v>33</v>
      </c>
      <c r="L322">
        <f t="shared" ref="L322:L385" si="10">YEAR(A322)</f>
        <v>2019</v>
      </c>
      <c r="M322" t="str">
        <f t="shared" ref="M322:M385" si="11">IF(L322=2019,"Pre-COVID","COVID Period")</f>
        <v>Pre-COVID</v>
      </c>
    </row>
    <row r="323" spans="1:13" x14ac:dyDescent="0.25">
      <c r="A323" s="2">
        <v>43640</v>
      </c>
      <c r="B323" t="s">
        <v>42</v>
      </c>
      <c r="C323">
        <v>10</v>
      </c>
      <c r="D323" s="3">
        <v>4.32</v>
      </c>
      <c r="E323" s="3">
        <v>43.2</v>
      </c>
      <c r="F323">
        <v>11</v>
      </c>
      <c r="G323">
        <v>2</v>
      </c>
      <c r="H323" s="4">
        <v>1.3</v>
      </c>
      <c r="I323" t="s">
        <v>33</v>
      </c>
      <c r="J323" t="s">
        <v>33</v>
      </c>
      <c r="L323">
        <f t="shared" si="10"/>
        <v>2019</v>
      </c>
      <c r="M323" t="str">
        <f t="shared" si="11"/>
        <v>Pre-COVID</v>
      </c>
    </row>
    <row r="324" spans="1:13" x14ac:dyDescent="0.25">
      <c r="A324" s="2">
        <v>43640</v>
      </c>
      <c r="B324" t="s">
        <v>43</v>
      </c>
      <c r="C324">
        <v>5</v>
      </c>
      <c r="D324" s="3">
        <v>5.41</v>
      </c>
      <c r="E324" s="3">
        <v>27.05</v>
      </c>
      <c r="F324">
        <v>7</v>
      </c>
      <c r="G324">
        <v>3</v>
      </c>
      <c r="H324" s="4">
        <v>0</v>
      </c>
      <c r="I324" t="s">
        <v>33</v>
      </c>
      <c r="J324" t="s">
        <v>33</v>
      </c>
      <c r="L324">
        <f t="shared" si="10"/>
        <v>2019</v>
      </c>
      <c r="M324" t="str">
        <f t="shared" si="11"/>
        <v>Pre-COVID</v>
      </c>
    </row>
    <row r="325" spans="1:13" x14ac:dyDescent="0.25">
      <c r="A325" s="2">
        <v>43640</v>
      </c>
      <c r="B325" t="s">
        <v>44</v>
      </c>
      <c r="C325">
        <v>1</v>
      </c>
      <c r="D325" s="3">
        <v>4.84</v>
      </c>
      <c r="E325" s="3">
        <v>4.84</v>
      </c>
      <c r="F325">
        <v>3</v>
      </c>
      <c r="G325">
        <v>2</v>
      </c>
      <c r="H325" s="4">
        <v>0.8</v>
      </c>
      <c r="I325" t="s">
        <v>46</v>
      </c>
      <c r="J325" t="s">
        <v>46</v>
      </c>
      <c r="K325" t="s">
        <v>47</v>
      </c>
      <c r="L325">
        <f t="shared" si="10"/>
        <v>2019</v>
      </c>
      <c r="M325" t="str">
        <f t="shared" si="11"/>
        <v>Pre-COVID</v>
      </c>
    </row>
    <row r="326" spans="1:13" x14ac:dyDescent="0.25">
      <c r="A326" s="2">
        <v>43640</v>
      </c>
      <c r="B326" t="s">
        <v>45</v>
      </c>
      <c r="C326">
        <v>0</v>
      </c>
      <c r="D326" s="3">
        <v>14.46</v>
      </c>
      <c r="E326" s="3">
        <v>0</v>
      </c>
      <c r="F326">
        <v>3</v>
      </c>
      <c r="G326">
        <v>3</v>
      </c>
      <c r="H326" s="4">
        <v>0.2</v>
      </c>
      <c r="I326" t="s">
        <v>33</v>
      </c>
      <c r="J326" t="s">
        <v>33</v>
      </c>
      <c r="L326">
        <f t="shared" si="10"/>
        <v>2019</v>
      </c>
      <c r="M326" t="str">
        <f t="shared" si="11"/>
        <v>Pre-COVID</v>
      </c>
    </row>
    <row r="327" spans="1:13" x14ac:dyDescent="0.25">
      <c r="A327" s="2">
        <v>43647</v>
      </c>
      <c r="B327" t="s">
        <v>32</v>
      </c>
      <c r="C327">
        <v>19</v>
      </c>
      <c r="D327" s="3">
        <v>6.63</v>
      </c>
      <c r="E327" s="3">
        <v>125.97</v>
      </c>
      <c r="F327">
        <v>29</v>
      </c>
      <c r="G327">
        <v>11</v>
      </c>
      <c r="H327" s="4">
        <v>1.4</v>
      </c>
      <c r="I327" t="s">
        <v>33</v>
      </c>
      <c r="J327" t="s">
        <v>33</v>
      </c>
      <c r="L327">
        <f t="shared" si="10"/>
        <v>2019</v>
      </c>
      <c r="M327" t="str">
        <f t="shared" si="11"/>
        <v>Pre-COVID</v>
      </c>
    </row>
    <row r="328" spans="1:13" x14ac:dyDescent="0.25">
      <c r="A328" s="2">
        <v>43647</v>
      </c>
      <c r="B328" t="s">
        <v>34</v>
      </c>
      <c r="C328">
        <v>14</v>
      </c>
      <c r="D328" s="3">
        <v>7.08</v>
      </c>
      <c r="E328" s="3">
        <v>99.12</v>
      </c>
      <c r="F328">
        <v>18</v>
      </c>
      <c r="G328">
        <v>4</v>
      </c>
      <c r="H328" s="4">
        <v>0.7</v>
      </c>
      <c r="I328" t="s">
        <v>33</v>
      </c>
      <c r="J328" t="s">
        <v>33</v>
      </c>
      <c r="L328">
        <f t="shared" si="10"/>
        <v>2019</v>
      </c>
      <c r="M328" t="str">
        <f t="shared" si="11"/>
        <v>Pre-COVID</v>
      </c>
    </row>
    <row r="329" spans="1:13" x14ac:dyDescent="0.25">
      <c r="A329" s="2">
        <v>43647</v>
      </c>
      <c r="B329" t="s">
        <v>35</v>
      </c>
      <c r="C329">
        <v>10</v>
      </c>
      <c r="D329" s="3">
        <v>5.98</v>
      </c>
      <c r="E329" s="3">
        <v>59.8</v>
      </c>
      <c r="F329">
        <v>16</v>
      </c>
      <c r="G329">
        <v>8</v>
      </c>
      <c r="H329" s="4">
        <v>0.6</v>
      </c>
      <c r="I329" t="s">
        <v>33</v>
      </c>
      <c r="J329" t="s">
        <v>33</v>
      </c>
      <c r="L329">
        <f t="shared" si="10"/>
        <v>2019</v>
      </c>
      <c r="M329" t="str">
        <f t="shared" si="11"/>
        <v>Pre-COVID</v>
      </c>
    </row>
    <row r="330" spans="1:13" x14ac:dyDescent="0.25">
      <c r="A330" s="2">
        <v>43647</v>
      </c>
      <c r="B330" t="s">
        <v>36</v>
      </c>
      <c r="C330">
        <v>5</v>
      </c>
      <c r="D330" s="3">
        <v>6.16</v>
      </c>
      <c r="E330" s="3">
        <v>30.8</v>
      </c>
      <c r="F330">
        <v>7</v>
      </c>
      <c r="G330">
        <v>2</v>
      </c>
      <c r="H330" s="4">
        <v>1.1000000000000001</v>
      </c>
      <c r="I330" t="s">
        <v>33</v>
      </c>
      <c r="J330" t="s">
        <v>33</v>
      </c>
      <c r="L330">
        <f t="shared" si="10"/>
        <v>2019</v>
      </c>
      <c r="M330" t="str">
        <f t="shared" si="11"/>
        <v>Pre-COVID</v>
      </c>
    </row>
    <row r="331" spans="1:13" x14ac:dyDescent="0.25">
      <c r="A331" s="2">
        <v>43647</v>
      </c>
      <c r="B331" t="s">
        <v>37</v>
      </c>
      <c r="C331">
        <v>23</v>
      </c>
      <c r="D331" s="3">
        <v>3.26</v>
      </c>
      <c r="E331" s="3">
        <v>74.98</v>
      </c>
      <c r="F331">
        <v>38</v>
      </c>
      <c r="G331">
        <v>16</v>
      </c>
      <c r="H331" s="4">
        <v>1</v>
      </c>
      <c r="I331" t="s">
        <v>33</v>
      </c>
      <c r="J331" t="s">
        <v>33</v>
      </c>
      <c r="L331">
        <f t="shared" si="10"/>
        <v>2019</v>
      </c>
      <c r="M331" t="str">
        <f t="shared" si="11"/>
        <v>Pre-COVID</v>
      </c>
    </row>
    <row r="332" spans="1:13" x14ac:dyDescent="0.25">
      <c r="A332" s="2">
        <v>43647</v>
      </c>
      <c r="B332" t="s">
        <v>38</v>
      </c>
      <c r="C332">
        <v>10</v>
      </c>
      <c r="D332" s="3">
        <v>8.42</v>
      </c>
      <c r="E332" s="3">
        <v>84.2</v>
      </c>
      <c r="F332">
        <v>12</v>
      </c>
      <c r="G332">
        <v>3</v>
      </c>
      <c r="H332" s="4">
        <v>1.1000000000000001</v>
      </c>
      <c r="I332" t="s">
        <v>33</v>
      </c>
      <c r="J332" t="s">
        <v>33</v>
      </c>
      <c r="L332">
        <f t="shared" si="10"/>
        <v>2019</v>
      </c>
      <c r="M332" t="str">
        <f t="shared" si="11"/>
        <v>Pre-COVID</v>
      </c>
    </row>
    <row r="333" spans="1:13" x14ac:dyDescent="0.25">
      <c r="A333" s="2">
        <v>43647</v>
      </c>
      <c r="B333" t="s">
        <v>39</v>
      </c>
      <c r="C333">
        <v>17</v>
      </c>
      <c r="D333" s="3">
        <v>11.14</v>
      </c>
      <c r="E333" s="3">
        <v>189.38</v>
      </c>
      <c r="F333">
        <v>19</v>
      </c>
      <c r="G333">
        <v>4</v>
      </c>
      <c r="H333" s="4">
        <v>0.5</v>
      </c>
      <c r="I333" t="s">
        <v>33</v>
      </c>
      <c r="J333" t="s">
        <v>33</v>
      </c>
      <c r="L333">
        <f t="shared" si="10"/>
        <v>2019</v>
      </c>
      <c r="M333" t="str">
        <f t="shared" si="11"/>
        <v>Pre-COVID</v>
      </c>
    </row>
    <row r="334" spans="1:13" x14ac:dyDescent="0.25">
      <c r="A334" s="2">
        <v>43647</v>
      </c>
      <c r="B334" t="s">
        <v>40</v>
      </c>
      <c r="C334">
        <v>12</v>
      </c>
      <c r="D334" s="3">
        <v>0.68</v>
      </c>
      <c r="E334" s="3">
        <v>8.16</v>
      </c>
      <c r="F334">
        <v>16</v>
      </c>
      <c r="G334">
        <v>5</v>
      </c>
      <c r="H334" s="4">
        <v>1.2</v>
      </c>
      <c r="I334" t="s">
        <v>33</v>
      </c>
      <c r="J334" t="s">
        <v>33</v>
      </c>
      <c r="L334">
        <f t="shared" si="10"/>
        <v>2019</v>
      </c>
      <c r="M334" t="str">
        <f t="shared" si="11"/>
        <v>Pre-COVID</v>
      </c>
    </row>
    <row r="335" spans="1:13" x14ac:dyDescent="0.25">
      <c r="A335" s="2">
        <v>43647</v>
      </c>
      <c r="B335" t="s">
        <v>41</v>
      </c>
      <c r="C335">
        <v>6</v>
      </c>
      <c r="D335" s="3">
        <v>1.4</v>
      </c>
      <c r="E335" s="3">
        <v>8.4</v>
      </c>
      <c r="F335">
        <v>7</v>
      </c>
      <c r="G335">
        <v>1</v>
      </c>
      <c r="H335" s="4">
        <v>0.6</v>
      </c>
      <c r="I335" t="s">
        <v>33</v>
      </c>
      <c r="J335" t="s">
        <v>33</v>
      </c>
      <c r="L335">
        <f t="shared" si="10"/>
        <v>2019</v>
      </c>
      <c r="M335" t="str">
        <f t="shared" si="11"/>
        <v>Pre-COVID</v>
      </c>
    </row>
    <row r="336" spans="1:13" x14ac:dyDescent="0.25">
      <c r="A336" s="2">
        <v>43647</v>
      </c>
      <c r="B336" t="s">
        <v>42</v>
      </c>
      <c r="C336">
        <v>10</v>
      </c>
      <c r="D336" s="3">
        <v>4.37</v>
      </c>
      <c r="E336" s="3">
        <v>43.7</v>
      </c>
      <c r="F336">
        <v>12</v>
      </c>
      <c r="G336">
        <v>3</v>
      </c>
      <c r="H336" s="4">
        <v>1.1000000000000001</v>
      </c>
      <c r="I336" t="s">
        <v>33</v>
      </c>
      <c r="J336" t="s">
        <v>33</v>
      </c>
      <c r="L336">
        <f t="shared" si="10"/>
        <v>2019</v>
      </c>
      <c r="M336" t="str">
        <f t="shared" si="11"/>
        <v>Pre-COVID</v>
      </c>
    </row>
    <row r="337" spans="1:13" x14ac:dyDescent="0.25">
      <c r="A337" s="2">
        <v>43647</v>
      </c>
      <c r="B337" t="s">
        <v>43</v>
      </c>
      <c r="C337">
        <v>6</v>
      </c>
      <c r="D337" s="3">
        <v>5.51</v>
      </c>
      <c r="E337" s="3">
        <v>33.06</v>
      </c>
      <c r="F337">
        <v>10</v>
      </c>
      <c r="G337">
        <v>5</v>
      </c>
      <c r="H337" s="4">
        <v>0.4</v>
      </c>
      <c r="I337" t="s">
        <v>33</v>
      </c>
      <c r="J337" t="s">
        <v>33</v>
      </c>
      <c r="L337">
        <f t="shared" si="10"/>
        <v>2019</v>
      </c>
      <c r="M337" t="str">
        <f t="shared" si="11"/>
        <v>Pre-COVID</v>
      </c>
    </row>
    <row r="338" spans="1:13" x14ac:dyDescent="0.25">
      <c r="A338" s="2">
        <v>43647</v>
      </c>
      <c r="B338" t="s">
        <v>44</v>
      </c>
      <c r="C338">
        <v>0</v>
      </c>
      <c r="D338" s="3">
        <v>4.76</v>
      </c>
      <c r="E338" s="3">
        <v>0</v>
      </c>
      <c r="F338">
        <v>3</v>
      </c>
      <c r="G338">
        <v>3</v>
      </c>
      <c r="H338" s="4">
        <v>1</v>
      </c>
      <c r="I338" t="s">
        <v>33</v>
      </c>
      <c r="J338" t="s">
        <v>33</v>
      </c>
      <c r="L338">
        <f t="shared" si="10"/>
        <v>2019</v>
      </c>
      <c r="M338" t="str">
        <f t="shared" si="11"/>
        <v>Pre-COVID</v>
      </c>
    </row>
    <row r="339" spans="1:13" x14ac:dyDescent="0.25">
      <c r="A339" s="2">
        <v>43647</v>
      </c>
      <c r="B339" t="s">
        <v>45</v>
      </c>
      <c r="C339">
        <v>1</v>
      </c>
      <c r="D339" s="3">
        <v>15.61</v>
      </c>
      <c r="E339" s="3">
        <v>15.61</v>
      </c>
      <c r="F339">
        <v>3</v>
      </c>
      <c r="G339">
        <v>2</v>
      </c>
      <c r="H339" s="4">
        <v>1.8</v>
      </c>
      <c r="I339" t="s">
        <v>46</v>
      </c>
      <c r="J339" t="s">
        <v>33</v>
      </c>
      <c r="L339">
        <f t="shared" si="10"/>
        <v>2019</v>
      </c>
      <c r="M339" t="str">
        <f t="shared" si="11"/>
        <v>Pre-COVID</v>
      </c>
    </row>
    <row r="340" spans="1:13" x14ac:dyDescent="0.25">
      <c r="A340" s="2">
        <v>43654</v>
      </c>
      <c r="B340" t="s">
        <v>32</v>
      </c>
      <c r="C340">
        <v>11</v>
      </c>
      <c r="D340" s="3">
        <v>6.59</v>
      </c>
      <c r="E340" s="3">
        <v>72.489999999999995</v>
      </c>
      <c r="F340">
        <v>12</v>
      </c>
      <c r="G340">
        <v>3</v>
      </c>
      <c r="H340" s="4">
        <v>0.5</v>
      </c>
      <c r="I340" t="s">
        <v>33</v>
      </c>
      <c r="J340" t="s">
        <v>33</v>
      </c>
      <c r="L340">
        <f t="shared" si="10"/>
        <v>2019</v>
      </c>
      <c r="M340" t="str">
        <f t="shared" si="11"/>
        <v>Pre-COVID</v>
      </c>
    </row>
    <row r="341" spans="1:13" x14ac:dyDescent="0.25">
      <c r="A341" s="2">
        <v>43654</v>
      </c>
      <c r="B341" t="s">
        <v>34</v>
      </c>
      <c r="C341">
        <v>13</v>
      </c>
      <c r="D341" s="3">
        <v>7.45</v>
      </c>
      <c r="E341" s="3">
        <v>96.85</v>
      </c>
      <c r="F341">
        <v>16</v>
      </c>
      <c r="G341">
        <v>4</v>
      </c>
      <c r="H341" s="4">
        <v>1.4</v>
      </c>
      <c r="I341" t="s">
        <v>33</v>
      </c>
      <c r="J341" t="s">
        <v>33</v>
      </c>
      <c r="L341">
        <f t="shared" si="10"/>
        <v>2019</v>
      </c>
      <c r="M341" t="str">
        <f t="shared" si="11"/>
        <v>Pre-COVID</v>
      </c>
    </row>
    <row r="342" spans="1:13" x14ac:dyDescent="0.25">
      <c r="A342" s="2">
        <v>43654</v>
      </c>
      <c r="B342" t="s">
        <v>35</v>
      </c>
      <c r="C342">
        <v>9</v>
      </c>
      <c r="D342" s="3">
        <v>6.11</v>
      </c>
      <c r="E342" s="3">
        <v>54.99</v>
      </c>
      <c r="F342">
        <v>14</v>
      </c>
      <c r="G342">
        <v>7</v>
      </c>
      <c r="H342" s="4">
        <v>0.3</v>
      </c>
      <c r="I342" t="s">
        <v>33</v>
      </c>
      <c r="J342" t="s">
        <v>33</v>
      </c>
      <c r="L342">
        <f t="shared" si="10"/>
        <v>2019</v>
      </c>
      <c r="M342" t="str">
        <f t="shared" si="11"/>
        <v>Pre-COVID</v>
      </c>
    </row>
    <row r="343" spans="1:13" x14ac:dyDescent="0.25">
      <c r="A343" s="2">
        <v>43654</v>
      </c>
      <c r="B343" t="s">
        <v>36</v>
      </c>
      <c r="C343">
        <v>9</v>
      </c>
      <c r="D343" s="3">
        <v>6.31</v>
      </c>
      <c r="E343" s="3">
        <v>56.79</v>
      </c>
      <c r="F343">
        <v>15</v>
      </c>
      <c r="G343">
        <v>7</v>
      </c>
      <c r="H343" s="4">
        <v>1.2</v>
      </c>
      <c r="I343" t="s">
        <v>33</v>
      </c>
      <c r="J343" t="s">
        <v>33</v>
      </c>
      <c r="L343">
        <f t="shared" si="10"/>
        <v>2019</v>
      </c>
      <c r="M343" t="str">
        <f t="shared" si="11"/>
        <v>Pre-COVID</v>
      </c>
    </row>
    <row r="344" spans="1:13" x14ac:dyDescent="0.25">
      <c r="A344" s="2">
        <v>43654</v>
      </c>
      <c r="B344" t="s">
        <v>37</v>
      </c>
      <c r="C344">
        <v>17</v>
      </c>
      <c r="D344" s="3">
        <v>3.16</v>
      </c>
      <c r="E344" s="3">
        <v>53.72</v>
      </c>
      <c r="F344">
        <v>27</v>
      </c>
      <c r="G344">
        <v>13</v>
      </c>
      <c r="H344" s="4">
        <v>1.2</v>
      </c>
      <c r="I344" t="s">
        <v>33</v>
      </c>
      <c r="J344" t="s">
        <v>33</v>
      </c>
      <c r="L344">
        <f t="shared" si="10"/>
        <v>2019</v>
      </c>
      <c r="M344" t="str">
        <f t="shared" si="11"/>
        <v>Pre-COVID</v>
      </c>
    </row>
    <row r="345" spans="1:13" x14ac:dyDescent="0.25">
      <c r="A345" s="2">
        <v>43654</v>
      </c>
      <c r="B345" t="s">
        <v>38</v>
      </c>
      <c r="C345">
        <v>12</v>
      </c>
      <c r="D345" s="3">
        <v>8.1999999999999993</v>
      </c>
      <c r="E345" s="3">
        <v>98.4</v>
      </c>
      <c r="F345">
        <v>20</v>
      </c>
      <c r="G345">
        <v>9</v>
      </c>
      <c r="H345" s="4">
        <v>1.8</v>
      </c>
      <c r="I345" t="s">
        <v>33</v>
      </c>
      <c r="J345" t="s">
        <v>33</v>
      </c>
      <c r="L345">
        <f t="shared" si="10"/>
        <v>2019</v>
      </c>
      <c r="M345" t="str">
        <f t="shared" si="11"/>
        <v>Pre-COVID</v>
      </c>
    </row>
    <row r="346" spans="1:13" x14ac:dyDescent="0.25">
      <c r="A346" s="2">
        <v>43654</v>
      </c>
      <c r="B346" t="s">
        <v>39</v>
      </c>
      <c r="C346">
        <v>13</v>
      </c>
      <c r="D346" s="3">
        <v>11.69</v>
      </c>
      <c r="E346" s="3">
        <v>151.97</v>
      </c>
      <c r="F346">
        <v>15</v>
      </c>
      <c r="G346">
        <v>4</v>
      </c>
      <c r="H346" s="4">
        <v>1.2</v>
      </c>
      <c r="I346" t="s">
        <v>33</v>
      </c>
      <c r="J346" t="s">
        <v>33</v>
      </c>
      <c r="L346">
        <f t="shared" si="10"/>
        <v>2019</v>
      </c>
      <c r="M346" t="str">
        <f t="shared" si="11"/>
        <v>Pre-COVID</v>
      </c>
    </row>
    <row r="347" spans="1:13" x14ac:dyDescent="0.25">
      <c r="A347" s="2">
        <v>43654</v>
      </c>
      <c r="B347" t="s">
        <v>40</v>
      </c>
      <c r="C347">
        <v>10</v>
      </c>
      <c r="D347" s="3">
        <v>0.67</v>
      </c>
      <c r="E347" s="3">
        <v>6.7</v>
      </c>
      <c r="F347">
        <v>12</v>
      </c>
      <c r="G347">
        <v>4</v>
      </c>
      <c r="H347" s="4">
        <v>0.3</v>
      </c>
      <c r="I347" t="s">
        <v>33</v>
      </c>
      <c r="J347" t="s">
        <v>33</v>
      </c>
      <c r="L347">
        <f t="shared" si="10"/>
        <v>2019</v>
      </c>
      <c r="M347" t="str">
        <f t="shared" si="11"/>
        <v>Pre-COVID</v>
      </c>
    </row>
    <row r="348" spans="1:13" x14ac:dyDescent="0.25">
      <c r="A348" s="2">
        <v>43654</v>
      </c>
      <c r="B348" t="s">
        <v>41</v>
      </c>
      <c r="C348">
        <v>7</v>
      </c>
      <c r="D348" s="3">
        <v>1.31</v>
      </c>
      <c r="E348" s="3">
        <v>9.17</v>
      </c>
      <c r="F348">
        <v>10</v>
      </c>
      <c r="G348">
        <v>4</v>
      </c>
      <c r="H348" s="4">
        <v>1.4</v>
      </c>
      <c r="I348" t="s">
        <v>33</v>
      </c>
      <c r="J348" t="s">
        <v>33</v>
      </c>
      <c r="L348">
        <f t="shared" si="10"/>
        <v>2019</v>
      </c>
      <c r="M348" t="str">
        <f t="shared" si="11"/>
        <v>Pre-COVID</v>
      </c>
    </row>
    <row r="349" spans="1:13" x14ac:dyDescent="0.25">
      <c r="A349" s="2">
        <v>43654</v>
      </c>
      <c r="B349" t="s">
        <v>42</v>
      </c>
      <c r="C349">
        <v>9</v>
      </c>
      <c r="D349" s="3">
        <v>4.1500000000000004</v>
      </c>
      <c r="E349" s="3">
        <v>37.35</v>
      </c>
      <c r="F349">
        <v>13</v>
      </c>
      <c r="G349">
        <v>5</v>
      </c>
      <c r="H349" s="4">
        <v>0.8</v>
      </c>
      <c r="I349" t="s">
        <v>33</v>
      </c>
      <c r="J349" t="s">
        <v>33</v>
      </c>
      <c r="L349">
        <f t="shared" si="10"/>
        <v>2019</v>
      </c>
      <c r="M349" t="str">
        <f t="shared" si="11"/>
        <v>Pre-COVID</v>
      </c>
    </row>
    <row r="350" spans="1:13" x14ac:dyDescent="0.25">
      <c r="A350" s="2">
        <v>43654</v>
      </c>
      <c r="B350" t="s">
        <v>43</v>
      </c>
      <c r="C350">
        <v>7</v>
      </c>
      <c r="D350" s="3">
        <v>5.66</v>
      </c>
      <c r="E350" s="3">
        <v>39.619999999999997</v>
      </c>
      <c r="F350">
        <v>11</v>
      </c>
      <c r="G350">
        <v>5</v>
      </c>
      <c r="H350" s="4">
        <v>0.6</v>
      </c>
      <c r="I350" t="s">
        <v>33</v>
      </c>
      <c r="J350" t="s">
        <v>33</v>
      </c>
      <c r="L350">
        <f t="shared" si="10"/>
        <v>2019</v>
      </c>
      <c r="M350" t="str">
        <f t="shared" si="11"/>
        <v>Pre-COVID</v>
      </c>
    </row>
    <row r="351" spans="1:13" x14ac:dyDescent="0.25">
      <c r="A351" s="2">
        <v>43654</v>
      </c>
      <c r="B351" t="s">
        <v>44</v>
      </c>
      <c r="C351">
        <v>1</v>
      </c>
      <c r="D351" s="3">
        <v>4.76</v>
      </c>
      <c r="E351" s="3">
        <v>4.76</v>
      </c>
      <c r="F351">
        <v>3</v>
      </c>
      <c r="G351">
        <v>2</v>
      </c>
      <c r="H351" s="4">
        <v>1.2</v>
      </c>
      <c r="I351" t="s">
        <v>46</v>
      </c>
      <c r="J351" t="s">
        <v>33</v>
      </c>
      <c r="K351" t="s">
        <v>47</v>
      </c>
      <c r="L351">
        <f t="shared" si="10"/>
        <v>2019</v>
      </c>
      <c r="M351" t="str">
        <f t="shared" si="11"/>
        <v>Pre-COVID</v>
      </c>
    </row>
    <row r="352" spans="1:13" x14ac:dyDescent="0.25">
      <c r="A352" s="2">
        <v>43654</v>
      </c>
      <c r="B352" t="s">
        <v>45</v>
      </c>
      <c r="C352">
        <v>0</v>
      </c>
      <c r="D352" s="3">
        <v>15.09</v>
      </c>
      <c r="E352" s="3">
        <v>0</v>
      </c>
      <c r="F352">
        <v>3</v>
      </c>
      <c r="G352">
        <v>3</v>
      </c>
      <c r="H352" s="4">
        <v>0.2</v>
      </c>
      <c r="I352" t="s">
        <v>33</v>
      </c>
      <c r="J352" t="s">
        <v>33</v>
      </c>
      <c r="L352">
        <f t="shared" si="10"/>
        <v>2019</v>
      </c>
      <c r="M352" t="str">
        <f t="shared" si="11"/>
        <v>Pre-COVID</v>
      </c>
    </row>
    <row r="353" spans="1:13" x14ac:dyDescent="0.25">
      <c r="A353" s="2">
        <v>43661</v>
      </c>
      <c r="B353" t="s">
        <v>32</v>
      </c>
      <c r="C353">
        <v>15</v>
      </c>
      <c r="D353" s="3">
        <v>6.92</v>
      </c>
      <c r="E353" s="3">
        <v>103.8</v>
      </c>
      <c r="F353">
        <v>17</v>
      </c>
      <c r="G353">
        <v>4</v>
      </c>
      <c r="H353" s="4">
        <v>0.7</v>
      </c>
      <c r="I353" t="s">
        <v>33</v>
      </c>
      <c r="J353" t="s">
        <v>33</v>
      </c>
      <c r="L353">
        <f t="shared" si="10"/>
        <v>2019</v>
      </c>
      <c r="M353" t="str">
        <f t="shared" si="11"/>
        <v>Pre-COVID</v>
      </c>
    </row>
    <row r="354" spans="1:13" x14ac:dyDescent="0.25">
      <c r="A354" s="2">
        <v>43661</v>
      </c>
      <c r="B354" t="s">
        <v>34</v>
      </c>
      <c r="C354">
        <v>11</v>
      </c>
      <c r="D354" s="3">
        <v>7.01</v>
      </c>
      <c r="E354" s="3">
        <v>77.11</v>
      </c>
      <c r="F354">
        <v>12</v>
      </c>
      <c r="G354">
        <v>1</v>
      </c>
      <c r="H354" s="4">
        <v>0.6</v>
      </c>
      <c r="I354" t="s">
        <v>33</v>
      </c>
      <c r="J354" t="s">
        <v>33</v>
      </c>
      <c r="L354">
        <f t="shared" si="10"/>
        <v>2019</v>
      </c>
      <c r="M354" t="str">
        <f t="shared" si="11"/>
        <v>Pre-COVID</v>
      </c>
    </row>
    <row r="355" spans="1:13" x14ac:dyDescent="0.25">
      <c r="A355" s="2">
        <v>43661</v>
      </c>
      <c r="B355" t="s">
        <v>35</v>
      </c>
      <c r="C355">
        <v>9</v>
      </c>
      <c r="D355" s="3">
        <v>6.11</v>
      </c>
      <c r="E355" s="3">
        <v>54.99</v>
      </c>
      <c r="F355">
        <v>12</v>
      </c>
      <c r="G355">
        <v>5</v>
      </c>
      <c r="H355" s="4">
        <v>0.4</v>
      </c>
      <c r="I355" t="s">
        <v>33</v>
      </c>
      <c r="J355" t="s">
        <v>33</v>
      </c>
      <c r="L355">
        <f t="shared" si="10"/>
        <v>2019</v>
      </c>
      <c r="M355" t="str">
        <f t="shared" si="11"/>
        <v>Pre-COVID</v>
      </c>
    </row>
    <row r="356" spans="1:13" x14ac:dyDescent="0.25">
      <c r="A356" s="2">
        <v>43661</v>
      </c>
      <c r="B356" t="s">
        <v>36</v>
      </c>
      <c r="C356">
        <v>8</v>
      </c>
      <c r="D356" s="3">
        <v>6.11</v>
      </c>
      <c r="E356" s="3">
        <v>48.88</v>
      </c>
      <c r="F356">
        <v>10</v>
      </c>
      <c r="G356">
        <v>3</v>
      </c>
      <c r="H356" s="4">
        <v>0.5</v>
      </c>
      <c r="I356" t="s">
        <v>33</v>
      </c>
      <c r="J356" t="s">
        <v>33</v>
      </c>
      <c r="L356">
        <f t="shared" si="10"/>
        <v>2019</v>
      </c>
      <c r="M356" t="str">
        <f t="shared" si="11"/>
        <v>Pre-COVID</v>
      </c>
    </row>
    <row r="357" spans="1:13" x14ac:dyDescent="0.25">
      <c r="A357" s="2">
        <v>43661</v>
      </c>
      <c r="B357" t="s">
        <v>37</v>
      </c>
      <c r="C357">
        <v>20</v>
      </c>
      <c r="D357" s="3">
        <v>3.22</v>
      </c>
      <c r="E357" s="3">
        <v>64.400000000000006</v>
      </c>
      <c r="F357">
        <v>23</v>
      </c>
      <c r="G357">
        <v>6</v>
      </c>
      <c r="H357" s="4">
        <v>0</v>
      </c>
      <c r="I357" t="s">
        <v>33</v>
      </c>
      <c r="J357" t="s">
        <v>33</v>
      </c>
      <c r="L357">
        <f t="shared" si="10"/>
        <v>2019</v>
      </c>
      <c r="M357" t="str">
        <f t="shared" si="11"/>
        <v>Pre-COVID</v>
      </c>
    </row>
    <row r="358" spans="1:13" x14ac:dyDescent="0.25">
      <c r="A358" s="2">
        <v>43661</v>
      </c>
      <c r="B358" t="s">
        <v>38</v>
      </c>
      <c r="C358">
        <v>9</v>
      </c>
      <c r="D358" s="3">
        <v>8.67</v>
      </c>
      <c r="E358" s="3">
        <v>78.03</v>
      </c>
      <c r="F358">
        <v>10</v>
      </c>
      <c r="G358">
        <v>2</v>
      </c>
      <c r="H358" s="4">
        <v>1.5</v>
      </c>
      <c r="I358" t="s">
        <v>33</v>
      </c>
      <c r="J358" t="s">
        <v>46</v>
      </c>
      <c r="L358">
        <f t="shared" si="10"/>
        <v>2019</v>
      </c>
      <c r="M358" t="str">
        <f t="shared" si="11"/>
        <v>Pre-COVID</v>
      </c>
    </row>
    <row r="359" spans="1:13" x14ac:dyDescent="0.25">
      <c r="A359" s="2">
        <v>43661</v>
      </c>
      <c r="B359" t="s">
        <v>39</v>
      </c>
      <c r="C359">
        <v>22</v>
      </c>
      <c r="D359" s="3">
        <v>12.02</v>
      </c>
      <c r="E359" s="3">
        <v>264.44</v>
      </c>
      <c r="F359">
        <v>25</v>
      </c>
      <c r="G359">
        <v>4</v>
      </c>
      <c r="H359" s="4">
        <v>0</v>
      </c>
      <c r="I359" t="s">
        <v>33</v>
      </c>
      <c r="J359" t="s">
        <v>33</v>
      </c>
      <c r="L359">
        <f t="shared" si="10"/>
        <v>2019</v>
      </c>
      <c r="M359" t="str">
        <f t="shared" si="11"/>
        <v>Pre-COVID</v>
      </c>
    </row>
    <row r="360" spans="1:13" x14ac:dyDescent="0.25">
      <c r="A360" s="2">
        <v>43661</v>
      </c>
      <c r="B360" t="s">
        <v>40</v>
      </c>
      <c r="C360">
        <v>10</v>
      </c>
      <c r="D360" s="3">
        <v>0.65</v>
      </c>
      <c r="E360" s="3">
        <v>6.5</v>
      </c>
      <c r="F360">
        <v>15</v>
      </c>
      <c r="G360">
        <v>7</v>
      </c>
      <c r="H360" s="4">
        <v>0.9</v>
      </c>
      <c r="I360" t="s">
        <v>33</v>
      </c>
      <c r="J360" t="s">
        <v>33</v>
      </c>
      <c r="L360">
        <f t="shared" si="10"/>
        <v>2019</v>
      </c>
      <c r="M360" t="str">
        <f t="shared" si="11"/>
        <v>Pre-COVID</v>
      </c>
    </row>
    <row r="361" spans="1:13" x14ac:dyDescent="0.25">
      <c r="A361" s="2">
        <v>43661</v>
      </c>
      <c r="B361" t="s">
        <v>41</v>
      </c>
      <c r="C361">
        <v>7</v>
      </c>
      <c r="D361" s="3">
        <v>1.41</v>
      </c>
      <c r="E361" s="3">
        <v>9.8699999999999992</v>
      </c>
      <c r="F361">
        <v>8</v>
      </c>
      <c r="G361">
        <v>1</v>
      </c>
      <c r="H361" s="4">
        <v>0.2</v>
      </c>
      <c r="I361" t="s">
        <v>33</v>
      </c>
      <c r="J361" t="s">
        <v>46</v>
      </c>
      <c r="L361">
        <f t="shared" si="10"/>
        <v>2019</v>
      </c>
      <c r="M361" t="str">
        <f t="shared" si="11"/>
        <v>Pre-COVID</v>
      </c>
    </row>
    <row r="362" spans="1:13" x14ac:dyDescent="0.25">
      <c r="A362" s="2">
        <v>43661</v>
      </c>
      <c r="B362" t="s">
        <v>42</v>
      </c>
      <c r="C362">
        <v>9</v>
      </c>
      <c r="D362" s="3">
        <v>4.3099999999999996</v>
      </c>
      <c r="E362" s="3">
        <v>38.79</v>
      </c>
      <c r="F362">
        <v>12</v>
      </c>
      <c r="G362">
        <v>5</v>
      </c>
      <c r="H362" s="4">
        <v>1.1000000000000001</v>
      </c>
      <c r="I362" t="s">
        <v>33</v>
      </c>
      <c r="J362" t="s">
        <v>33</v>
      </c>
      <c r="L362">
        <f t="shared" si="10"/>
        <v>2019</v>
      </c>
      <c r="M362" t="str">
        <f t="shared" si="11"/>
        <v>Pre-COVID</v>
      </c>
    </row>
    <row r="363" spans="1:13" x14ac:dyDescent="0.25">
      <c r="A363" s="2">
        <v>43661</v>
      </c>
      <c r="B363" t="s">
        <v>43</v>
      </c>
      <c r="C363">
        <v>5</v>
      </c>
      <c r="D363" s="3">
        <v>5.45</v>
      </c>
      <c r="E363" s="3">
        <v>27.25</v>
      </c>
      <c r="F363">
        <v>8</v>
      </c>
      <c r="G363">
        <v>4</v>
      </c>
      <c r="H363" s="4">
        <v>0.1</v>
      </c>
      <c r="I363" t="s">
        <v>33</v>
      </c>
      <c r="J363" t="s">
        <v>33</v>
      </c>
      <c r="L363">
        <f t="shared" si="10"/>
        <v>2019</v>
      </c>
      <c r="M363" t="str">
        <f t="shared" si="11"/>
        <v>Pre-COVID</v>
      </c>
    </row>
    <row r="364" spans="1:13" x14ac:dyDescent="0.25">
      <c r="A364" s="2">
        <v>43661</v>
      </c>
      <c r="B364" t="s">
        <v>44</v>
      </c>
      <c r="C364">
        <v>0</v>
      </c>
      <c r="D364" s="3">
        <v>4.76</v>
      </c>
      <c r="E364" s="3">
        <v>0</v>
      </c>
      <c r="F364">
        <v>3</v>
      </c>
      <c r="G364">
        <v>3</v>
      </c>
      <c r="H364" s="4">
        <v>0</v>
      </c>
      <c r="I364" t="s">
        <v>33</v>
      </c>
      <c r="J364" t="s">
        <v>33</v>
      </c>
      <c r="L364">
        <f t="shared" si="10"/>
        <v>2019</v>
      </c>
      <c r="M364" t="str">
        <f t="shared" si="11"/>
        <v>Pre-COVID</v>
      </c>
    </row>
    <row r="365" spans="1:13" x14ac:dyDescent="0.25">
      <c r="A365" s="2">
        <v>43661</v>
      </c>
      <c r="B365" t="s">
        <v>45</v>
      </c>
      <c r="C365">
        <v>0</v>
      </c>
      <c r="D365" s="3">
        <v>15.02</v>
      </c>
      <c r="E365" s="3">
        <v>0</v>
      </c>
      <c r="F365">
        <v>3</v>
      </c>
      <c r="G365">
        <v>3</v>
      </c>
      <c r="H365" s="4">
        <v>0.9</v>
      </c>
      <c r="I365" t="s">
        <v>33</v>
      </c>
      <c r="J365" t="s">
        <v>33</v>
      </c>
      <c r="L365">
        <f t="shared" si="10"/>
        <v>2019</v>
      </c>
      <c r="M365" t="str">
        <f t="shared" si="11"/>
        <v>Pre-COVID</v>
      </c>
    </row>
    <row r="366" spans="1:13" x14ac:dyDescent="0.25">
      <c r="A366" s="2">
        <v>43668</v>
      </c>
      <c r="B366" t="s">
        <v>32</v>
      </c>
      <c r="C366">
        <v>13</v>
      </c>
      <c r="D366" s="3">
        <v>6.76</v>
      </c>
      <c r="E366" s="3">
        <v>87.88</v>
      </c>
      <c r="F366">
        <v>20</v>
      </c>
      <c r="G366">
        <v>8</v>
      </c>
      <c r="H366" s="4">
        <v>1.5</v>
      </c>
      <c r="I366" t="s">
        <v>33</v>
      </c>
      <c r="J366" t="s">
        <v>33</v>
      </c>
      <c r="L366">
        <f t="shared" si="10"/>
        <v>2019</v>
      </c>
      <c r="M366" t="str">
        <f t="shared" si="11"/>
        <v>Pre-COVID</v>
      </c>
    </row>
    <row r="367" spans="1:13" x14ac:dyDescent="0.25">
      <c r="A367" s="2">
        <v>43668</v>
      </c>
      <c r="B367" t="s">
        <v>34</v>
      </c>
      <c r="C367">
        <v>10</v>
      </c>
      <c r="D367" s="3">
        <v>7.32</v>
      </c>
      <c r="E367" s="3">
        <v>73.2</v>
      </c>
      <c r="F367">
        <v>16</v>
      </c>
      <c r="G367">
        <v>7</v>
      </c>
      <c r="H367" s="4">
        <v>1.6</v>
      </c>
      <c r="I367" t="s">
        <v>33</v>
      </c>
      <c r="J367" t="s">
        <v>33</v>
      </c>
      <c r="L367">
        <f t="shared" si="10"/>
        <v>2019</v>
      </c>
      <c r="M367" t="str">
        <f t="shared" si="11"/>
        <v>Pre-COVID</v>
      </c>
    </row>
    <row r="368" spans="1:13" x14ac:dyDescent="0.25">
      <c r="A368" s="2">
        <v>43668</v>
      </c>
      <c r="B368" t="s">
        <v>35</v>
      </c>
      <c r="C368">
        <v>7</v>
      </c>
      <c r="D368" s="3">
        <v>5.81</v>
      </c>
      <c r="E368" s="3">
        <v>40.67</v>
      </c>
      <c r="F368">
        <v>10</v>
      </c>
      <c r="G368">
        <v>4</v>
      </c>
      <c r="H368" s="4">
        <v>1.6</v>
      </c>
      <c r="I368" t="s">
        <v>33</v>
      </c>
      <c r="J368" t="s">
        <v>33</v>
      </c>
      <c r="L368">
        <f t="shared" si="10"/>
        <v>2019</v>
      </c>
      <c r="M368" t="str">
        <f t="shared" si="11"/>
        <v>Pre-COVID</v>
      </c>
    </row>
    <row r="369" spans="1:13" x14ac:dyDescent="0.25">
      <c r="A369" s="2">
        <v>43668</v>
      </c>
      <c r="B369" t="s">
        <v>36</v>
      </c>
      <c r="C369">
        <v>7</v>
      </c>
      <c r="D369" s="3">
        <v>6.27</v>
      </c>
      <c r="E369" s="3">
        <v>43.89</v>
      </c>
      <c r="F369">
        <v>11</v>
      </c>
      <c r="G369">
        <v>4</v>
      </c>
      <c r="H369" s="4">
        <v>1.1000000000000001</v>
      </c>
      <c r="I369" t="s">
        <v>33</v>
      </c>
      <c r="J369" t="s">
        <v>33</v>
      </c>
      <c r="L369">
        <f t="shared" si="10"/>
        <v>2019</v>
      </c>
      <c r="M369" t="str">
        <f t="shared" si="11"/>
        <v>Pre-COVID</v>
      </c>
    </row>
    <row r="370" spans="1:13" x14ac:dyDescent="0.25">
      <c r="A370" s="2">
        <v>43668</v>
      </c>
      <c r="B370" t="s">
        <v>37</v>
      </c>
      <c r="C370">
        <v>23</v>
      </c>
      <c r="D370" s="3">
        <v>3.23</v>
      </c>
      <c r="E370" s="3">
        <v>74.290000000000006</v>
      </c>
      <c r="F370">
        <v>29</v>
      </c>
      <c r="G370">
        <v>9</v>
      </c>
      <c r="H370" s="4">
        <v>1.5</v>
      </c>
      <c r="I370" t="s">
        <v>33</v>
      </c>
      <c r="J370" t="s">
        <v>33</v>
      </c>
      <c r="L370">
        <f t="shared" si="10"/>
        <v>2019</v>
      </c>
      <c r="M370" t="str">
        <f t="shared" si="11"/>
        <v>Pre-COVID</v>
      </c>
    </row>
    <row r="371" spans="1:13" x14ac:dyDescent="0.25">
      <c r="A371" s="2">
        <v>43668</v>
      </c>
      <c r="B371" t="s">
        <v>38</v>
      </c>
      <c r="C371">
        <v>11</v>
      </c>
      <c r="D371" s="3">
        <v>8.59</v>
      </c>
      <c r="E371" s="3">
        <v>94.49</v>
      </c>
      <c r="F371">
        <v>16</v>
      </c>
      <c r="G371">
        <v>5</v>
      </c>
      <c r="H371" s="4">
        <v>0.8</v>
      </c>
      <c r="I371" t="s">
        <v>33</v>
      </c>
      <c r="J371" t="s">
        <v>33</v>
      </c>
      <c r="L371">
        <f t="shared" si="10"/>
        <v>2019</v>
      </c>
      <c r="M371" t="str">
        <f t="shared" si="11"/>
        <v>Pre-COVID</v>
      </c>
    </row>
    <row r="372" spans="1:13" x14ac:dyDescent="0.25">
      <c r="A372" s="2">
        <v>43668</v>
      </c>
      <c r="B372" t="s">
        <v>39</v>
      </c>
      <c r="C372">
        <v>15</v>
      </c>
      <c r="D372" s="3">
        <v>11.14</v>
      </c>
      <c r="E372" s="3">
        <v>167.1</v>
      </c>
      <c r="F372">
        <v>18</v>
      </c>
      <c r="G372">
        <v>5</v>
      </c>
      <c r="H372" s="4">
        <v>0.7</v>
      </c>
      <c r="I372" t="s">
        <v>33</v>
      </c>
      <c r="J372" t="s">
        <v>33</v>
      </c>
      <c r="L372">
        <f t="shared" si="10"/>
        <v>2019</v>
      </c>
      <c r="M372" t="str">
        <f t="shared" si="11"/>
        <v>Pre-COVID</v>
      </c>
    </row>
    <row r="373" spans="1:13" x14ac:dyDescent="0.25">
      <c r="A373" s="2">
        <v>43668</v>
      </c>
      <c r="B373" t="s">
        <v>40</v>
      </c>
      <c r="C373">
        <v>11</v>
      </c>
      <c r="D373" s="3">
        <v>0.64</v>
      </c>
      <c r="E373" s="3">
        <v>7.04</v>
      </c>
      <c r="F373">
        <v>14</v>
      </c>
      <c r="G373">
        <v>4</v>
      </c>
      <c r="H373" s="4">
        <v>0.8</v>
      </c>
      <c r="I373" t="s">
        <v>33</v>
      </c>
      <c r="J373" t="s">
        <v>33</v>
      </c>
      <c r="L373">
        <f t="shared" si="10"/>
        <v>2019</v>
      </c>
      <c r="M373" t="str">
        <f t="shared" si="11"/>
        <v>Pre-COVID</v>
      </c>
    </row>
    <row r="374" spans="1:13" x14ac:dyDescent="0.25">
      <c r="A374" s="2">
        <v>43668</v>
      </c>
      <c r="B374" t="s">
        <v>41</v>
      </c>
      <c r="C374">
        <v>6</v>
      </c>
      <c r="D374" s="3">
        <v>1.38</v>
      </c>
      <c r="E374" s="3">
        <v>8.2799999999999994</v>
      </c>
      <c r="F374">
        <v>8</v>
      </c>
      <c r="G374">
        <v>3</v>
      </c>
      <c r="H374" s="4">
        <v>1.4</v>
      </c>
      <c r="I374" t="s">
        <v>33</v>
      </c>
      <c r="J374" t="s">
        <v>33</v>
      </c>
      <c r="L374">
        <f t="shared" si="10"/>
        <v>2019</v>
      </c>
      <c r="M374" t="str">
        <f t="shared" si="11"/>
        <v>Pre-COVID</v>
      </c>
    </row>
    <row r="375" spans="1:13" x14ac:dyDescent="0.25">
      <c r="A375" s="2">
        <v>43668</v>
      </c>
      <c r="B375" t="s">
        <v>42</v>
      </c>
      <c r="C375">
        <v>4</v>
      </c>
      <c r="D375" s="3">
        <v>4.17</v>
      </c>
      <c r="E375" s="3">
        <v>16.68</v>
      </c>
      <c r="F375">
        <v>7</v>
      </c>
      <c r="G375">
        <v>4</v>
      </c>
      <c r="H375" s="4">
        <v>0.7</v>
      </c>
      <c r="I375" t="s">
        <v>33</v>
      </c>
      <c r="J375" t="s">
        <v>33</v>
      </c>
      <c r="L375">
        <f t="shared" si="10"/>
        <v>2019</v>
      </c>
      <c r="M375" t="str">
        <f t="shared" si="11"/>
        <v>Pre-COVID</v>
      </c>
    </row>
    <row r="376" spans="1:13" x14ac:dyDescent="0.25">
      <c r="A376" s="2">
        <v>43668</v>
      </c>
      <c r="B376" t="s">
        <v>43</v>
      </c>
      <c r="C376">
        <v>4</v>
      </c>
      <c r="D376" s="3">
        <v>5.62</v>
      </c>
      <c r="E376" s="3">
        <v>22.48</v>
      </c>
      <c r="F376">
        <v>6</v>
      </c>
      <c r="G376">
        <v>3</v>
      </c>
      <c r="H376" s="4">
        <v>0.8</v>
      </c>
      <c r="I376" t="s">
        <v>33</v>
      </c>
      <c r="J376" t="s">
        <v>33</v>
      </c>
      <c r="L376">
        <f t="shared" si="10"/>
        <v>2019</v>
      </c>
      <c r="M376" t="str">
        <f t="shared" si="11"/>
        <v>Pre-COVID</v>
      </c>
    </row>
    <row r="377" spans="1:13" x14ac:dyDescent="0.25">
      <c r="A377" s="2">
        <v>43668</v>
      </c>
      <c r="B377" t="s">
        <v>44</v>
      </c>
      <c r="C377">
        <v>1</v>
      </c>
      <c r="D377" s="3">
        <v>4.95</v>
      </c>
      <c r="E377" s="3">
        <v>4.95</v>
      </c>
      <c r="F377">
        <v>3</v>
      </c>
      <c r="G377">
        <v>2</v>
      </c>
      <c r="H377" s="4">
        <v>1.9</v>
      </c>
      <c r="I377" t="s">
        <v>46</v>
      </c>
      <c r="J377" t="s">
        <v>33</v>
      </c>
      <c r="K377" t="s">
        <v>47</v>
      </c>
      <c r="L377">
        <f t="shared" si="10"/>
        <v>2019</v>
      </c>
      <c r="M377" t="str">
        <f t="shared" si="11"/>
        <v>Pre-COVID</v>
      </c>
    </row>
    <row r="378" spans="1:13" x14ac:dyDescent="0.25">
      <c r="A378" s="2">
        <v>43668</v>
      </c>
      <c r="B378" t="s">
        <v>45</v>
      </c>
      <c r="C378">
        <v>0</v>
      </c>
      <c r="D378" s="3">
        <v>14.95</v>
      </c>
      <c r="E378" s="3">
        <v>0</v>
      </c>
      <c r="F378">
        <v>3</v>
      </c>
      <c r="G378">
        <v>3</v>
      </c>
      <c r="H378" s="4">
        <v>1.3</v>
      </c>
      <c r="I378" t="s">
        <v>33</v>
      </c>
      <c r="J378" t="s">
        <v>33</v>
      </c>
      <c r="L378">
        <f t="shared" si="10"/>
        <v>2019</v>
      </c>
      <c r="M378" t="str">
        <f t="shared" si="11"/>
        <v>Pre-COVID</v>
      </c>
    </row>
    <row r="379" spans="1:13" x14ac:dyDescent="0.25">
      <c r="A379" s="2">
        <v>43675</v>
      </c>
      <c r="B379" t="s">
        <v>32</v>
      </c>
      <c r="C379">
        <v>13</v>
      </c>
      <c r="D379" s="3">
        <v>6.82</v>
      </c>
      <c r="E379" s="3">
        <v>88.66</v>
      </c>
      <c r="F379">
        <v>14</v>
      </c>
      <c r="G379">
        <v>3</v>
      </c>
      <c r="H379" s="4">
        <v>0.7</v>
      </c>
      <c r="I379" t="s">
        <v>33</v>
      </c>
      <c r="J379" t="s">
        <v>33</v>
      </c>
      <c r="L379">
        <f t="shared" si="10"/>
        <v>2019</v>
      </c>
      <c r="M379" t="str">
        <f t="shared" si="11"/>
        <v>Pre-COVID</v>
      </c>
    </row>
    <row r="380" spans="1:13" x14ac:dyDescent="0.25">
      <c r="A380" s="2">
        <v>43675</v>
      </c>
      <c r="B380" t="s">
        <v>34</v>
      </c>
      <c r="C380">
        <v>11</v>
      </c>
      <c r="D380" s="3">
        <v>7.44</v>
      </c>
      <c r="E380" s="3">
        <v>81.84</v>
      </c>
      <c r="F380">
        <v>12</v>
      </c>
      <c r="G380">
        <v>1</v>
      </c>
      <c r="H380" s="4">
        <v>1.2</v>
      </c>
      <c r="I380" t="s">
        <v>33</v>
      </c>
      <c r="J380" t="s">
        <v>33</v>
      </c>
      <c r="L380">
        <f t="shared" si="10"/>
        <v>2019</v>
      </c>
      <c r="M380" t="str">
        <f t="shared" si="11"/>
        <v>Pre-COVID</v>
      </c>
    </row>
    <row r="381" spans="1:13" x14ac:dyDescent="0.25">
      <c r="A381" s="2">
        <v>43675</v>
      </c>
      <c r="B381" t="s">
        <v>35</v>
      </c>
      <c r="C381">
        <v>10</v>
      </c>
      <c r="D381" s="3">
        <v>5.96</v>
      </c>
      <c r="E381" s="3">
        <v>59.6</v>
      </c>
      <c r="F381">
        <v>13</v>
      </c>
      <c r="G381">
        <v>4</v>
      </c>
      <c r="H381" s="4">
        <v>0.8</v>
      </c>
      <c r="I381" t="s">
        <v>33</v>
      </c>
      <c r="J381" t="s">
        <v>33</v>
      </c>
      <c r="L381">
        <f t="shared" si="10"/>
        <v>2019</v>
      </c>
      <c r="M381" t="str">
        <f t="shared" si="11"/>
        <v>Pre-COVID</v>
      </c>
    </row>
    <row r="382" spans="1:13" x14ac:dyDescent="0.25">
      <c r="A382" s="2">
        <v>43675</v>
      </c>
      <c r="B382" t="s">
        <v>36</v>
      </c>
      <c r="C382">
        <v>11</v>
      </c>
      <c r="D382" s="3">
        <v>6.21</v>
      </c>
      <c r="E382" s="3">
        <v>68.31</v>
      </c>
      <c r="F382">
        <v>12</v>
      </c>
      <c r="G382">
        <v>3</v>
      </c>
      <c r="H382" s="4">
        <v>0.3</v>
      </c>
      <c r="I382" t="s">
        <v>33</v>
      </c>
      <c r="J382" t="s">
        <v>33</v>
      </c>
      <c r="L382">
        <f t="shared" si="10"/>
        <v>2019</v>
      </c>
      <c r="M382" t="str">
        <f t="shared" si="11"/>
        <v>Pre-COVID</v>
      </c>
    </row>
    <row r="383" spans="1:13" x14ac:dyDescent="0.25">
      <c r="A383" s="2">
        <v>43675</v>
      </c>
      <c r="B383" t="s">
        <v>37</v>
      </c>
      <c r="C383">
        <v>26</v>
      </c>
      <c r="D383" s="3">
        <v>3.11</v>
      </c>
      <c r="E383" s="3">
        <v>80.86</v>
      </c>
      <c r="F383">
        <v>28</v>
      </c>
      <c r="G383">
        <v>4</v>
      </c>
      <c r="H383" s="4">
        <v>1.2</v>
      </c>
      <c r="I383" t="s">
        <v>33</v>
      </c>
      <c r="J383" t="s">
        <v>33</v>
      </c>
      <c r="L383">
        <f t="shared" si="10"/>
        <v>2019</v>
      </c>
      <c r="M383" t="str">
        <f t="shared" si="11"/>
        <v>Pre-COVID</v>
      </c>
    </row>
    <row r="384" spans="1:13" x14ac:dyDescent="0.25">
      <c r="A384" s="2">
        <v>43675</v>
      </c>
      <c r="B384" t="s">
        <v>38</v>
      </c>
      <c r="C384">
        <v>10</v>
      </c>
      <c r="D384" s="3">
        <v>8.69</v>
      </c>
      <c r="E384" s="3">
        <v>86.9</v>
      </c>
      <c r="F384">
        <v>15</v>
      </c>
      <c r="G384">
        <v>7</v>
      </c>
      <c r="H384" s="4">
        <v>0.8</v>
      </c>
      <c r="I384" t="s">
        <v>33</v>
      </c>
      <c r="J384" t="s">
        <v>33</v>
      </c>
      <c r="L384">
        <f t="shared" si="10"/>
        <v>2019</v>
      </c>
      <c r="M384" t="str">
        <f t="shared" si="11"/>
        <v>Pre-COVID</v>
      </c>
    </row>
    <row r="385" spans="1:13" x14ac:dyDescent="0.25">
      <c r="A385" s="2">
        <v>43675</v>
      </c>
      <c r="B385" t="s">
        <v>39</v>
      </c>
      <c r="C385">
        <v>15</v>
      </c>
      <c r="D385" s="3">
        <v>11.43</v>
      </c>
      <c r="E385" s="3">
        <v>171.45</v>
      </c>
      <c r="F385">
        <v>24</v>
      </c>
      <c r="G385">
        <v>9</v>
      </c>
      <c r="H385" s="4">
        <v>1.2</v>
      </c>
      <c r="I385" t="s">
        <v>33</v>
      </c>
      <c r="J385" t="s">
        <v>33</v>
      </c>
      <c r="L385">
        <f t="shared" si="10"/>
        <v>2019</v>
      </c>
      <c r="M385" t="str">
        <f t="shared" si="11"/>
        <v>Pre-COVID</v>
      </c>
    </row>
    <row r="386" spans="1:13" x14ac:dyDescent="0.25">
      <c r="A386" s="2">
        <v>43675</v>
      </c>
      <c r="B386" t="s">
        <v>40</v>
      </c>
      <c r="C386">
        <v>9</v>
      </c>
      <c r="D386" s="3">
        <v>0.63</v>
      </c>
      <c r="E386" s="3">
        <v>5.67</v>
      </c>
      <c r="F386">
        <v>9</v>
      </c>
      <c r="G386">
        <v>2</v>
      </c>
      <c r="H386" s="4">
        <v>0.2</v>
      </c>
      <c r="I386" t="s">
        <v>33</v>
      </c>
      <c r="J386" t="s">
        <v>33</v>
      </c>
      <c r="L386">
        <f t="shared" ref="L386:L449" si="12">YEAR(A386)</f>
        <v>2019</v>
      </c>
      <c r="M386" t="str">
        <f t="shared" ref="M386:M449" si="13">IF(L386=2019,"Pre-COVID","COVID Period")</f>
        <v>Pre-COVID</v>
      </c>
    </row>
    <row r="387" spans="1:13" x14ac:dyDescent="0.25">
      <c r="A387" s="2">
        <v>43675</v>
      </c>
      <c r="B387" t="s">
        <v>41</v>
      </c>
      <c r="C387">
        <v>6</v>
      </c>
      <c r="D387" s="3">
        <v>1.32</v>
      </c>
      <c r="E387" s="3">
        <v>7.92</v>
      </c>
      <c r="F387">
        <v>10</v>
      </c>
      <c r="G387">
        <v>6</v>
      </c>
      <c r="H387" s="4">
        <v>1.1000000000000001</v>
      </c>
      <c r="I387" t="s">
        <v>33</v>
      </c>
      <c r="J387" t="s">
        <v>33</v>
      </c>
      <c r="L387">
        <f t="shared" si="12"/>
        <v>2019</v>
      </c>
      <c r="M387" t="str">
        <f t="shared" si="13"/>
        <v>Pre-COVID</v>
      </c>
    </row>
    <row r="388" spans="1:13" x14ac:dyDescent="0.25">
      <c r="A388" s="2">
        <v>43675</v>
      </c>
      <c r="B388" t="s">
        <v>42</v>
      </c>
      <c r="C388">
        <v>8</v>
      </c>
      <c r="D388" s="3">
        <v>4.1100000000000003</v>
      </c>
      <c r="E388" s="3">
        <v>32.880000000000003</v>
      </c>
      <c r="F388">
        <v>11</v>
      </c>
      <c r="G388">
        <v>3</v>
      </c>
      <c r="H388" s="4">
        <v>0.2</v>
      </c>
      <c r="I388" t="s">
        <v>33</v>
      </c>
      <c r="J388" t="s">
        <v>33</v>
      </c>
      <c r="L388">
        <f t="shared" si="12"/>
        <v>2019</v>
      </c>
      <c r="M388" t="str">
        <f t="shared" si="13"/>
        <v>Pre-COVID</v>
      </c>
    </row>
    <row r="389" spans="1:13" x14ac:dyDescent="0.25">
      <c r="A389" s="2">
        <v>43675</v>
      </c>
      <c r="B389" t="s">
        <v>43</v>
      </c>
      <c r="C389">
        <v>6</v>
      </c>
      <c r="D389" s="3">
        <v>5.38</v>
      </c>
      <c r="E389" s="3">
        <v>32.28</v>
      </c>
      <c r="F389">
        <v>9</v>
      </c>
      <c r="G389">
        <v>4</v>
      </c>
      <c r="H389" s="4">
        <v>0.5</v>
      </c>
      <c r="I389" t="s">
        <v>33</v>
      </c>
      <c r="J389" t="s">
        <v>33</v>
      </c>
      <c r="L389">
        <f t="shared" si="12"/>
        <v>2019</v>
      </c>
      <c r="M389" t="str">
        <f t="shared" si="13"/>
        <v>Pre-COVID</v>
      </c>
    </row>
    <row r="390" spans="1:13" x14ac:dyDescent="0.25">
      <c r="A390" s="2">
        <v>43675</v>
      </c>
      <c r="B390" t="s">
        <v>44</v>
      </c>
      <c r="C390">
        <v>0</v>
      </c>
      <c r="D390" s="3">
        <v>4.8600000000000003</v>
      </c>
      <c r="E390" s="3">
        <v>0</v>
      </c>
      <c r="F390">
        <v>3</v>
      </c>
      <c r="G390">
        <v>3</v>
      </c>
      <c r="H390" s="4">
        <v>0.4</v>
      </c>
      <c r="I390" t="s">
        <v>33</v>
      </c>
      <c r="J390" t="s">
        <v>33</v>
      </c>
      <c r="L390">
        <f t="shared" si="12"/>
        <v>2019</v>
      </c>
      <c r="M390" t="str">
        <f t="shared" si="13"/>
        <v>Pre-COVID</v>
      </c>
    </row>
    <row r="391" spans="1:13" x14ac:dyDescent="0.25">
      <c r="A391" s="2">
        <v>43675</v>
      </c>
      <c r="B391" t="s">
        <v>45</v>
      </c>
      <c r="C391">
        <v>0</v>
      </c>
      <c r="D391" s="3">
        <v>14.79</v>
      </c>
      <c r="E391" s="3">
        <v>0</v>
      </c>
      <c r="F391">
        <v>3</v>
      </c>
      <c r="G391">
        <v>4</v>
      </c>
      <c r="H391" s="4">
        <v>1</v>
      </c>
      <c r="I391" t="s">
        <v>33</v>
      </c>
      <c r="J391" t="s">
        <v>33</v>
      </c>
      <c r="L391">
        <f t="shared" si="12"/>
        <v>2019</v>
      </c>
      <c r="M391" t="str">
        <f t="shared" si="13"/>
        <v>Pre-COVID</v>
      </c>
    </row>
    <row r="392" spans="1:13" x14ac:dyDescent="0.25">
      <c r="A392" s="2">
        <v>43682</v>
      </c>
      <c r="B392" t="s">
        <v>32</v>
      </c>
      <c r="C392">
        <v>18</v>
      </c>
      <c r="D392" s="3">
        <v>7.12</v>
      </c>
      <c r="E392" s="3">
        <v>128.16</v>
      </c>
      <c r="F392">
        <v>27</v>
      </c>
      <c r="G392">
        <v>12</v>
      </c>
      <c r="H392" s="4">
        <v>1.1000000000000001</v>
      </c>
      <c r="I392" t="s">
        <v>33</v>
      </c>
      <c r="J392" t="s">
        <v>33</v>
      </c>
      <c r="L392">
        <f t="shared" si="12"/>
        <v>2019</v>
      </c>
      <c r="M392" t="str">
        <f t="shared" si="13"/>
        <v>Pre-COVID</v>
      </c>
    </row>
    <row r="393" spans="1:13" x14ac:dyDescent="0.25">
      <c r="A393" s="2">
        <v>43682</v>
      </c>
      <c r="B393" t="s">
        <v>34</v>
      </c>
      <c r="C393">
        <v>14</v>
      </c>
      <c r="D393" s="3">
        <v>7.27</v>
      </c>
      <c r="E393" s="3">
        <v>101.78</v>
      </c>
      <c r="F393">
        <v>22</v>
      </c>
      <c r="G393">
        <v>9</v>
      </c>
      <c r="H393" s="4">
        <v>0.7</v>
      </c>
      <c r="I393" t="s">
        <v>33</v>
      </c>
      <c r="J393" t="s">
        <v>33</v>
      </c>
      <c r="L393">
        <f t="shared" si="12"/>
        <v>2019</v>
      </c>
      <c r="M393" t="str">
        <f t="shared" si="13"/>
        <v>Pre-COVID</v>
      </c>
    </row>
    <row r="394" spans="1:13" x14ac:dyDescent="0.25">
      <c r="A394" s="2">
        <v>43682</v>
      </c>
      <c r="B394" t="s">
        <v>35</v>
      </c>
      <c r="C394">
        <v>9</v>
      </c>
      <c r="D394" s="3">
        <v>6.18</v>
      </c>
      <c r="E394" s="3">
        <v>55.62</v>
      </c>
      <c r="F394">
        <v>14</v>
      </c>
      <c r="G394">
        <v>5</v>
      </c>
      <c r="H394" s="4">
        <v>0.8</v>
      </c>
      <c r="I394" t="s">
        <v>33</v>
      </c>
      <c r="J394" t="s">
        <v>33</v>
      </c>
      <c r="L394">
        <f t="shared" si="12"/>
        <v>2019</v>
      </c>
      <c r="M394" t="str">
        <f t="shared" si="13"/>
        <v>Pre-COVID</v>
      </c>
    </row>
    <row r="395" spans="1:13" x14ac:dyDescent="0.25">
      <c r="A395" s="2">
        <v>43682</v>
      </c>
      <c r="B395" t="s">
        <v>36</v>
      </c>
      <c r="C395">
        <v>11</v>
      </c>
      <c r="D395" s="3">
        <v>6.03</v>
      </c>
      <c r="E395" s="3">
        <v>66.33</v>
      </c>
      <c r="F395">
        <v>18</v>
      </c>
      <c r="G395">
        <v>7</v>
      </c>
      <c r="H395" s="4">
        <v>0.6</v>
      </c>
      <c r="I395" t="s">
        <v>33</v>
      </c>
      <c r="J395" t="s">
        <v>33</v>
      </c>
      <c r="L395">
        <f t="shared" si="12"/>
        <v>2019</v>
      </c>
      <c r="M395" t="str">
        <f t="shared" si="13"/>
        <v>Pre-COVID</v>
      </c>
    </row>
    <row r="396" spans="1:13" x14ac:dyDescent="0.25">
      <c r="A396" s="2">
        <v>43682</v>
      </c>
      <c r="B396" t="s">
        <v>37</v>
      </c>
      <c r="C396">
        <v>23</v>
      </c>
      <c r="D396" s="3">
        <v>3.22</v>
      </c>
      <c r="E396" s="3">
        <v>74.06</v>
      </c>
      <c r="F396">
        <v>27</v>
      </c>
      <c r="G396">
        <v>6</v>
      </c>
      <c r="H396" s="4">
        <v>0.5</v>
      </c>
      <c r="I396" t="s">
        <v>33</v>
      </c>
      <c r="J396" t="s">
        <v>33</v>
      </c>
      <c r="L396">
        <f t="shared" si="12"/>
        <v>2019</v>
      </c>
      <c r="M396" t="str">
        <f t="shared" si="13"/>
        <v>Pre-COVID</v>
      </c>
    </row>
    <row r="397" spans="1:13" x14ac:dyDescent="0.25">
      <c r="A397" s="2">
        <v>43682</v>
      </c>
      <c r="B397" t="s">
        <v>38</v>
      </c>
      <c r="C397">
        <v>11</v>
      </c>
      <c r="D397" s="3">
        <v>8.66</v>
      </c>
      <c r="E397" s="3">
        <v>95.26</v>
      </c>
      <c r="F397">
        <v>13</v>
      </c>
      <c r="G397">
        <v>3</v>
      </c>
      <c r="H397" s="4">
        <v>0</v>
      </c>
      <c r="I397" t="s">
        <v>33</v>
      </c>
      <c r="J397" t="s">
        <v>33</v>
      </c>
      <c r="L397">
        <f t="shared" si="12"/>
        <v>2019</v>
      </c>
      <c r="M397" t="str">
        <f t="shared" si="13"/>
        <v>Pre-COVID</v>
      </c>
    </row>
    <row r="398" spans="1:13" x14ac:dyDescent="0.25">
      <c r="A398" s="2">
        <v>43682</v>
      </c>
      <c r="B398" t="s">
        <v>39</v>
      </c>
      <c r="C398">
        <v>14</v>
      </c>
      <c r="D398" s="3">
        <v>11.42</v>
      </c>
      <c r="E398" s="3">
        <v>159.88</v>
      </c>
      <c r="F398">
        <v>17</v>
      </c>
      <c r="G398">
        <v>3</v>
      </c>
      <c r="H398" s="4">
        <v>0.7</v>
      </c>
      <c r="I398" t="s">
        <v>33</v>
      </c>
      <c r="J398" t="s">
        <v>33</v>
      </c>
      <c r="L398">
        <f t="shared" si="12"/>
        <v>2019</v>
      </c>
      <c r="M398" t="str">
        <f t="shared" si="13"/>
        <v>Pre-COVID</v>
      </c>
    </row>
    <row r="399" spans="1:13" x14ac:dyDescent="0.25">
      <c r="A399" s="2">
        <v>43682</v>
      </c>
      <c r="B399" t="s">
        <v>40</v>
      </c>
      <c r="C399">
        <v>10</v>
      </c>
      <c r="D399" s="3">
        <v>0.63</v>
      </c>
      <c r="E399" s="3">
        <v>6.3</v>
      </c>
      <c r="F399">
        <v>11</v>
      </c>
      <c r="G399">
        <v>2</v>
      </c>
      <c r="H399" s="4">
        <v>0.3</v>
      </c>
      <c r="I399" t="s">
        <v>33</v>
      </c>
      <c r="J399" t="s">
        <v>46</v>
      </c>
      <c r="L399">
        <f t="shared" si="12"/>
        <v>2019</v>
      </c>
      <c r="M399" t="str">
        <f t="shared" si="13"/>
        <v>Pre-COVID</v>
      </c>
    </row>
    <row r="400" spans="1:13" x14ac:dyDescent="0.25">
      <c r="A400" s="2">
        <v>43682</v>
      </c>
      <c r="B400" t="s">
        <v>41</v>
      </c>
      <c r="C400">
        <v>9</v>
      </c>
      <c r="D400" s="3">
        <v>1.31</v>
      </c>
      <c r="E400" s="3">
        <v>11.79</v>
      </c>
      <c r="F400">
        <v>9</v>
      </c>
      <c r="G400">
        <v>1</v>
      </c>
      <c r="H400" s="4">
        <v>1.8</v>
      </c>
      <c r="I400" t="s">
        <v>33</v>
      </c>
      <c r="J400" t="s">
        <v>33</v>
      </c>
      <c r="L400">
        <f t="shared" si="12"/>
        <v>2019</v>
      </c>
      <c r="M400" t="str">
        <f t="shared" si="13"/>
        <v>Pre-COVID</v>
      </c>
    </row>
    <row r="401" spans="1:13" x14ac:dyDescent="0.25">
      <c r="A401" s="2">
        <v>43682</v>
      </c>
      <c r="B401" t="s">
        <v>42</v>
      </c>
      <c r="C401">
        <v>10</v>
      </c>
      <c r="D401" s="3">
        <v>4.04</v>
      </c>
      <c r="E401" s="3">
        <v>40.4</v>
      </c>
      <c r="F401">
        <v>11</v>
      </c>
      <c r="G401">
        <v>2</v>
      </c>
      <c r="H401" s="4">
        <v>0.8</v>
      </c>
      <c r="I401" t="s">
        <v>33</v>
      </c>
      <c r="J401" t="s">
        <v>33</v>
      </c>
      <c r="L401">
        <f t="shared" si="12"/>
        <v>2019</v>
      </c>
      <c r="M401" t="str">
        <f t="shared" si="13"/>
        <v>Pre-COVID</v>
      </c>
    </row>
    <row r="402" spans="1:13" x14ac:dyDescent="0.25">
      <c r="A402" s="2">
        <v>43682</v>
      </c>
      <c r="B402" t="s">
        <v>43</v>
      </c>
      <c r="C402">
        <v>4</v>
      </c>
      <c r="D402" s="3">
        <v>5.38</v>
      </c>
      <c r="E402" s="3">
        <v>21.52</v>
      </c>
      <c r="F402">
        <v>6</v>
      </c>
      <c r="G402">
        <v>2</v>
      </c>
      <c r="H402" s="4">
        <v>0.8</v>
      </c>
      <c r="I402" t="s">
        <v>33</v>
      </c>
      <c r="J402" t="s">
        <v>33</v>
      </c>
      <c r="L402">
        <f t="shared" si="12"/>
        <v>2019</v>
      </c>
      <c r="M402" t="str">
        <f t="shared" si="13"/>
        <v>Pre-COVID</v>
      </c>
    </row>
    <row r="403" spans="1:13" x14ac:dyDescent="0.25">
      <c r="A403" s="2">
        <v>43682</v>
      </c>
      <c r="B403" t="s">
        <v>44</v>
      </c>
      <c r="C403">
        <v>0</v>
      </c>
      <c r="D403" s="3">
        <v>4.75</v>
      </c>
      <c r="E403" s="3">
        <v>0</v>
      </c>
      <c r="F403">
        <v>3</v>
      </c>
      <c r="G403">
        <v>3</v>
      </c>
      <c r="H403" s="4">
        <v>1</v>
      </c>
      <c r="I403" t="s">
        <v>33</v>
      </c>
      <c r="J403" t="s">
        <v>33</v>
      </c>
      <c r="L403">
        <f t="shared" si="12"/>
        <v>2019</v>
      </c>
      <c r="M403" t="str">
        <f t="shared" si="13"/>
        <v>Pre-COVID</v>
      </c>
    </row>
    <row r="404" spans="1:13" x14ac:dyDescent="0.25">
      <c r="A404" s="2">
        <v>43682</v>
      </c>
      <c r="B404" t="s">
        <v>45</v>
      </c>
      <c r="C404">
        <v>1</v>
      </c>
      <c r="D404" s="3">
        <v>14.71</v>
      </c>
      <c r="E404" s="3">
        <v>14.71</v>
      </c>
      <c r="F404">
        <v>3</v>
      </c>
      <c r="G404">
        <v>2</v>
      </c>
      <c r="H404" s="4">
        <v>0.7</v>
      </c>
      <c r="I404" t="s">
        <v>46</v>
      </c>
      <c r="J404" t="s">
        <v>33</v>
      </c>
      <c r="L404">
        <f t="shared" si="12"/>
        <v>2019</v>
      </c>
      <c r="M404" t="str">
        <f t="shared" si="13"/>
        <v>Pre-COVID</v>
      </c>
    </row>
    <row r="405" spans="1:13" x14ac:dyDescent="0.25">
      <c r="A405" s="2">
        <v>43689</v>
      </c>
      <c r="B405" t="s">
        <v>32</v>
      </c>
      <c r="C405">
        <v>13</v>
      </c>
      <c r="D405" s="3">
        <v>6.66</v>
      </c>
      <c r="E405" s="3">
        <v>86.58</v>
      </c>
      <c r="F405">
        <v>16</v>
      </c>
      <c r="G405">
        <v>5</v>
      </c>
      <c r="H405" s="4">
        <v>0</v>
      </c>
      <c r="I405" t="s">
        <v>33</v>
      </c>
      <c r="J405" t="s">
        <v>33</v>
      </c>
      <c r="L405">
        <f t="shared" si="12"/>
        <v>2019</v>
      </c>
      <c r="M405" t="str">
        <f t="shared" si="13"/>
        <v>Pre-COVID</v>
      </c>
    </row>
    <row r="406" spans="1:13" x14ac:dyDescent="0.25">
      <c r="A406" s="2">
        <v>43689</v>
      </c>
      <c r="B406" t="s">
        <v>34</v>
      </c>
      <c r="C406">
        <v>17</v>
      </c>
      <c r="D406" s="3">
        <v>7.2</v>
      </c>
      <c r="E406" s="3">
        <v>122.4</v>
      </c>
      <c r="F406">
        <v>27</v>
      </c>
      <c r="G406">
        <v>12</v>
      </c>
      <c r="H406" s="4">
        <v>0.5</v>
      </c>
      <c r="I406" t="s">
        <v>33</v>
      </c>
      <c r="J406" t="s">
        <v>33</v>
      </c>
      <c r="L406">
        <f t="shared" si="12"/>
        <v>2019</v>
      </c>
      <c r="M406" t="str">
        <f t="shared" si="13"/>
        <v>Pre-COVID</v>
      </c>
    </row>
    <row r="407" spans="1:13" x14ac:dyDescent="0.25">
      <c r="A407" s="2">
        <v>43689</v>
      </c>
      <c r="B407" t="s">
        <v>35</v>
      </c>
      <c r="C407">
        <v>8</v>
      </c>
      <c r="D407" s="3">
        <v>6.07</v>
      </c>
      <c r="E407" s="3">
        <v>48.56</v>
      </c>
      <c r="F407">
        <v>11</v>
      </c>
      <c r="G407">
        <v>5</v>
      </c>
      <c r="H407" s="4">
        <v>0.4</v>
      </c>
      <c r="I407" t="s">
        <v>33</v>
      </c>
      <c r="J407" t="s">
        <v>33</v>
      </c>
      <c r="L407">
        <f t="shared" si="12"/>
        <v>2019</v>
      </c>
      <c r="M407" t="str">
        <f t="shared" si="13"/>
        <v>Pre-COVID</v>
      </c>
    </row>
    <row r="408" spans="1:13" x14ac:dyDescent="0.25">
      <c r="A408" s="2">
        <v>43689</v>
      </c>
      <c r="B408" t="s">
        <v>36</v>
      </c>
      <c r="C408">
        <v>7</v>
      </c>
      <c r="D408" s="3">
        <v>6.04</v>
      </c>
      <c r="E408" s="3">
        <v>42.28</v>
      </c>
      <c r="F408">
        <v>9</v>
      </c>
      <c r="G408">
        <v>4</v>
      </c>
      <c r="H408" s="4">
        <v>0.8</v>
      </c>
      <c r="I408" t="s">
        <v>33</v>
      </c>
      <c r="J408" t="s">
        <v>33</v>
      </c>
      <c r="L408">
        <f t="shared" si="12"/>
        <v>2019</v>
      </c>
      <c r="M408" t="str">
        <f t="shared" si="13"/>
        <v>Pre-COVID</v>
      </c>
    </row>
    <row r="409" spans="1:13" x14ac:dyDescent="0.25">
      <c r="A409" s="2">
        <v>43689</v>
      </c>
      <c r="B409" t="s">
        <v>37</v>
      </c>
      <c r="C409">
        <v>29</v>
      </c>
      <c r="D409" s="3">
        <v>3.19</v>
      </c>
      <c r="E409" s="3">
        <v>92.51</v>
      </c>
      <c r="F409">
        <v>46</v>
      </c>
      <c r="G409">
        <v>23</v>
      </c>
      <c r="H409" s="4">
        <v>0.9</v>
      </c>
      <c r="I409" t="s">
        <v>33</v>
      </c>
      <c r="J409" t="s">
        <v>33</v>
      </c>
      <c r="L409">
        <f t="shared" si="12"/>
        <v>2019</v>
      </c>
      <c r="M409" t="str">
        <f t="shared" si="13"/>
        <v>Pre-COVID</v>
      </c>
    </row>
    <row r="410" spans="1:13" x14ac:dyDescent="0.25">
      <c r="A410" s="2">
        <v>43689</v>
      </c>
      <c r="B410" t="s">
        <v>38</v>
      </c>
      <c r="C410">
        <v>15</v>
      </c>
      <c r="D410" s="3">
        <v>8.31</v>
      </c>
      <c r="E410" s="3">
        <v>124.65</v>
      </c>
      <c r="F410">
        <v>23</v>
      </c>
      <c r="G410">
        <v>8</v>
      </c>
      <c r="H410" s="4">
        <v>1.2</v>
      </c>
      <c r="I410" t="s">
        <v>33</v>
      </c>
      <c r="J410" t="s">
        <v>33</v>
      </c>
      <c r="L410">
        <f t="shared" si="12"/>
        <v>2019</v>
      </c>
      <c r="M410" t="str">
        <f t="shared" si="13"/>
        <v>Pre-COVID</v>
      </c>
    </row>
    <row r="411" spans="1:13" x14ac:dyDescent="0.25">
      <c r="A411" s="2">
        <v>43689</v>
      </c>
      <c r="B411" t="s">
        <v>39</v>
      </c>
      <c r="C411">
        <v>16</v>
      </c>
      <c r="D411" s="3">
        <v>11.18</v>
      </c>
      <c r="E411" s="3">
        <v>178.88</v>
      </c>
      <c r="F411">
        <v>22</v>
      </c>
      <c r="G411">
        <v>7</v>
      </c>
      <c r="H411" s="4">
        <v>0.6</v>
      </c>
      <c r="I411" t="s">
        <v>33</v>
      </c>
      <c r="J411" t="s">
        <v>33</v>
      </c>
      <c r="L411">
        <f t="shared" si="12"/>
        <v>2019</v>
      </c>
      <c r="M411" t="str">
        <f t="shared" si="13"/>
        <v>Pre-COVID</v>
      </c>
    </row>
    <row r="412" spans="1:13" x14ac:dyDescent="0.25">
      <c r="A412" s="2">
        <v>43689</v>
      </c>
      <c r="B412" t="s">
        <v>40</v>
      </c>
      <c r="C412">
        <v>9</v>
      </c>
      <c r="D412" s="3">
        <v>0.66</v>
      </c>
      <c r="E412" s="3">
        <v>5.94</v>
      </c>
      <c r="F412">
        <v>13</v>
      </c>
      <c r="G412">
        <v>6</v>
      </c>
      <c r="H412" s="4">
        <v>1</v>
      </c>
      <c r="I412" t="s">
        <v>33</v>
      </c>
      <c r="J412" t="s">
        <v>33</v>
      </c>
      <c r="L412">
        <f t="shared" si="12"/>
        <v>2019</v>
      </c>
      <c r="M412" t="str">
        <f t="shared" si="13"/>
        <v>Pre-COVID</v>
      </c>
    </row>
    <row r="413" spans="1:13" x14ac:dyDescent="0.25">
      <c r="A413" s="2">
        <v>43689</v>
      </c>
      <c r="B413" t="s">
        <v>41</v>
      </c>
      <c r="C413">
        <v>9</v>
      </c>
      <c r="D413" s="3">
        <v>1.32</v>
      </c>
      <c r="E413" s="3">
        <v>11.88</v>
      </c>
      <c r="F413">
        <v>10</v>
      </c>
      <c r="G413">
        <v>1</v>
      </c>
      <c r="H413" s="4">
        <v>1.1000000000000001</v>
      </c>
      <c r="I413" t="s">
        <v>33</v>
      </c>
      <c r="J413" t="s">
        <v>33</v>
      </c>
      <c r="L413">
        <f t="shared" si="12"/>
        <v>2019</v>
      </c>
      <c r="M413" t="str">
        <f t="shared" si="13"/>
        <v>Pre-COVID</v>
      </c>
    </row>
    <row r="414" spans="1:13" x14ac:dyDescent="0.25">
      <c r="A414" s="2">
        <v>43689</v>
      </c>
      <c r="B414" t="s">
        <v>42</v>
      </c>
      <c r="C414">
        <v>9</v>
      </c>
      <c r="D414" s="3">
        <v>4.22</v>
      </c>
      <c r="E414" s="3">
        <v>37.979999999999997</v>
      </c>
      <c r="F414">
        <v>12</v>
      </c>
      <c r="G414">
        <v>5</v>
      </c>
      <c r="H414" s="4">
        <v>0</v>
      </c>
      <c r="I414" t="s">
        <v>33</v>
      </c>
      <c r="J414" t="s">
        <v>33</v>
      </c>
      <c r="L414">
        <f t="shared" si="12"/>
        <v>2019</v>
      </c>
      <c r="M414" t="str">
        <f t="shared" si="13"/>
        <v>Pre-COVID</v>
      </c>
    </row>
    <row r="415" spans="1:13" x14ac:dyDescent="0.25">
      <c r="A415" s="2">
        <v>43689</v>
      </c>
      <c r="B415" t="s">
        <v>43</v>
      </c>
      <c r="C415">
        <v>4</v>
      </c>
      <c r="D415" s="3">
        <v>5.77</v>
      </c>
      <c r="E415" s="3">
        <v>23.08</v>
      </c>
      <c r="F415">
        <v>5</v>
      </c>
      <c r="G415">
        <v>2</v>
      </c>
      <c r="H415" s="4">
        <v>0.6</v>
      </c>
      <c r="I415" t="s">
        <v>33</v>
      </c>
      <c r="J415" t="s">
        <v>33</v>
      </c>
      <c r="L415">
        <f t="shared" si="12"/>
        <v>2019</v>
      </c>
      <c r="M415" t="str">
        <f t="shared" si="13"/>
        <v>Pre-COVID</v>
      </c>
    </row>
    <row r="416" spans="1:13" x14ac:dyDescent="0.25">
      <c r="A416" s="2">
        <v>43689</v>
      </c>
      <c r="B416" t="s">
        <v>44</v>
      </c>
      <c r="C416">
        <v>0</v>
      </c>
      <c r="D416" s="3">
        <v>4.8099999999999996</v>
      </c>
      <c r="E416" s="3">
        <v>0</v>
      </c>
      <c r="F416">
        <v>3</v>
      </c>
      <c r="G416">
        <v>3</v>
      </c>
      <c r="H416" s="4">
        <v>1.6</v>
      </c>
      <c r="I416" t="s">
        <v>33</v>
      </c>
      <c r="J416" t="s">
        <v>33</v>
      </c>
      <c r="L416">
        <f t="shared" si="12"/>
        <v>2019</v>
      </c>
      <c r="M416" t="str">
        <f t="shared" si="13"/>
        <v>Pre-COVID</v>
      </c>
    </row>
    <row r="417" spans="1:13" x14ac:dyDescent="0.25">
      <c r="A417" s="2">
        <v>43689</v>
      </c>
      <c r="B417" t="s">
        <v>45</v>
      </c>
      <c r="C417">
        <v>0</v>
      </c>
      <c r="D417" s="3">
        <v>15.71</v>
      </c>
      <c r="E417" s="3">
        <v>0</v>
      </c>
      <c r="F417">
        <v>3</v>
      </c>
      <c r="G417">
        <v>3</v>
      </c>
      <c r="H417" s="4">
        <v>0.9</v>
      </c>
      <c r="I417" t="s">
        <v>33</v>
      </c>
      <c r="J417" t="s">
        <v>33</v>
      </c>
      <c r="L417">
        <f t="shared" si="12"/>
        <v>2019</v>
      </c>
      <c r="M417" t="str">
        <f t="shared" si="13"/>
        <v>Pre-COVID</v>
      </c>
    </row>
    <row r="418" spans="1:13" x14ac:dyDescent="0.25">
      <c r="A418" s="2">
        <v>43696</v>
      </c>
      <c r="B418" t="s">
        <v>32</v>
      </c>
      <c r="C418">
        <v>17</v>
      </c>
      <c r="D418" s="3">
        <v>6.73</v>
      </c>
      <c r="E418" s="3">
        <v>114.41</v>
      </c>
      <c r="F418">
        <v>21</v>
      </c>
      <c r="G418">
        <v>7</v>
      </c>
      <c r="H418" s="4">
        <v>1.4</v>
      </c>
      <c r="I418" t="s">
        <v>33</v>
      </c>
      <c r="J418" t="s">
        <v>33</v>
      </c>
      <c r="L418">
        <f t="shared" si="12"/>
        <v>2019</v>
      </c>
      <c r="M418" t="str">
        <f t="shared" si="13"/>
        <v>Pre-COVID</v>
      </c>
    </row>
    <row r="419" spans="1:13" x14ac:dyDescent="0.25">
      <c r="A419" s="2">
        <v>43696</v>
      </c>
      <c r="B419" t="s">
        <v>34</v>
      </c>
      <c r="C419">
        <v>14</v>
      </c>
      <c r="D419" s="3">
        <v>7.35</v>
      </c>
      <c r="E419" s="3">
        <v>102.9</v>
      </c>
      <c r="F419">
        <v>17</v>
      </c>
      <c r="G419">
        <v>4</v>
      </c>
      <c r="H419" s="4">
        <v>0.3</v>
      </c>
      <c r="I419" t="s">
        <v>33</v>
      </c>
      <c r="J419" t="s">
        <v>33</v>
      </c>
      <c r="L419">
        <f t="shared" si="12"/>
        <v>2019</v>
      </c>
      <c r="M419" t="str">
        <f t="shared" si="13"/>
        <v>Pre-COVID</v>
      </c>
    </row>
    <row r="420" spans="1:13" x14ac:dyDescent="0.25">
      <c r="A420" s="2">
        <v>43696</v>
      </c>
      <c r="B420" t="s">
        <v>35</v>
      </c>
      <c r="C420">
        <v>8</v>
      </c>
      <c r="D420" s="3">
        <v>6.01</v>
      </c>
      <c r="E420" s="3">
        <v>48.08</v>
      </c>
      <c r="F420">
        <v>13</v>
      </c>
      <c r="G420">
        <v>7</v>
      </c>
      <c r="H420" s="4">
        <v>1</v>
      </c>
      <c r="I420" t="s">
        <v>33</v>
      </c>
      <c r="J420" t="s">
        <v>33</v>
      </c>
      <c r="L420">
        <f t="shared" si="12"/>
        <v>2019</v>
      </c>
      <c r="M420" t="str">
        <f t="shared" si="13"/>
        <v>Pre-COVID</v>
      </c>
    </row>
    <row r="421" spans="1:13" x14ac:dyDescent="0.25">
      <c r="A421" s="2">
        <v>43696</v>
      </c>
      <c r="B421" t="s">
        <v>36</v>
      </c>
      <c r="C421">
        <v>10</v>
      </c>
      <c r="D421" s="3">
        <v>6.49</v>
      </c>
      <c r="E421" s="3">
        <v>64.900000000000006</v>
      </c>
      <c r="F421">
        <v>13</v>
      </c>
      <c r="G421">
        <v>5</v>
      </c>
      <c r="H421" s="4">
        <v>1</v>
      </c>
      <c r="I421" t="s">
        <v>33</v>
      </c>
      <c r="J421" t="s">
        <v>33</v>
      </c>
      <c r="L421">
        <f t="shared" si="12"/>
        <v>2019</v>
      </c>
      <c r="M421" t="str">
        <f t="shared" si="13"/>
        <v>Pre-COVID</v>
      </c>
    </row>
    <row r="422" spans="1:13" x14ac:dyDescent="0.25">
      <c r="A422" s="2">
        <v>43696</v>
      </c>
      <c r="B422" t="s">
        <v>37</v>
      </c>
      <c r="C422">
        <v>20</v>
      </c>
      <c r="D422" s="3">
        <v>3.1</v>
      </c>
      <c r="E422" s="3">
        <v>62</v>
      </c>
      <c r="F422">
        <v>28</v>
      </c>
      <c r="G422">
        <v>9</v>
      </c>
      <c r="H422" s="4">
        <v>0.4</v>
      </c>
      <c r="I422" t="s">
        <v>33</v>
      </c>
      <c r="J422" t="s">
        <v>33</v>
      </c>
      <c r="L422">
        <f t="shared" si="12"/>
        <v>2019</v>
      </c>
      <c r="M422" t="str">
        <f t="shared" si="13"/>
        <v>Pre-COVID</v>
      </c>
    </row>
    <row r="423" spans="1:13" x14ac:dyDescent="0.25">
      <c r="A423" s="2">
        <v>43696</v>
      </c>
      <c r="B423" t="s">
        <v>38</v>
      </c>
      <c r="C423">
        <v>10</v>
      </c>
      <c r="D423" s="3">
        <v>8.42</v>
      </c>
      <c r="E423" s="3">
        <v>84.2</v>
      </c>
      <c r="F423">
        <v>14</v>
      </c>
      <c r="G423">
        <v>6</v>
      </c>
      <c r="H423" s="4">
        <v>1.5</v>
      </c>
      <c r="I423" t="s">
        <v>33</v>
      </c>
      <c r="J423" t="s">
        <v>33</v>
      </c>
      <c r="L423">
        <f t="shared" si="12"/>
        <v>2019</v>
      </c>
      <c r="M423" t="str">
        <f t="shared" si="13"/>
        <v>Pre-COVID</v>
      </c>
    </row>
    <row r="424" spans="1:13" x14ac:dyDescent="0.25">
      <c r="A424" s="2">
        <v>43696</v>
      </c>
      <c r="B424" t="s">
        <v>39</v>
      </c>
      <c r="C424">
        <v>14</v>
      </c>
      <c r="D424" s="3">
        <v>11.81</v>
      </c>
      <c r="E424" s="3">
        <v>165.34</v>
      </c>
      <c r="F424">
        <v>23</v>
      </c>
      <c r="G424">
        <v>12</v>
      </c>
      <c r="H424" s="4">
        <v>1.1000000000000001</v>
      </c>
      <c r="I424" t="s">
        <v>33</v>
      </c>
      <c r="J424" t="s">
        <v>33</v>
      </c>
      <c r="L424">
        <f t="shared" si="12"/>
        <v>2019</v>
      </c>
      <c r="M424" t="str">
        <f t="shared" si="13"/>
        <v>Pre-COVID</v>
      </c>
    </row>
    <row r="425" spans="1:13" x14ac:dyDescent="0.25">
      <c r="A425" s="2">
        <v>43696</v>
      </c>
      <c r="B425" t="s">
        <v>40</v>
      </c>
      <c r="C425">
        <v>10</v>
      </c>
      <c r="D425" s="3">
        <v>0.63</v>
      </c>
      <c r="E425" s="3">
        <v>6.3</v>
      </c>
      <c r="F425">
        <v>16</v>
      </c>
      <c r="G425">
        <v>8</v>
      </c>
      <c r="H425" s="4">
        <v>0</v>
      </c>
      <c r="I425" t="s">
        <v>33</v>
      </c>
      <c r="J425" t="s">
        <v>33</v>
      </c>
      <c r="L425">
        <f t="shared" si="12"/>
        <v>2019</v>
      </c>
      <c r="M425" t="str">
        <f t="shared" si="13"/>
        <v>Pre-COVID</v>
      </c>
    </row>
    <row r="426" spans="1:13" x14ac:dyDescent="0.25">
      <c r="A426" s="2">
        <v>43696</v>
      </c>
      <c r="B426" t="s">
        <v>41</v>
      </c>
      <c r="C426">
        <v>6</v>
      </c>
      <c r="D426" s="3">
        <v>1.35</v>
      </c>
      <c r="E426" s="3">
        <v>8.1</v>
      </c>
      <c r="F426">
        <v>8</v>
      </c>
      <c r="G426">
        <v>3</v>
      </c>
      <c r="H426" s="4">
        <v>0.5</v>
      </c>
      <c r="I426" t="s">
        <v>33</v>
      </c>
      <c r="J426" t="s">
        <v>33</v>
      </c>
      <c r="L426">
        <f t="shared" si="12"/>
        <v>2019</v>
      </c>
      <c r="M426" t="str">
        <f t="shared" si="13"/>
        <v>Pre-COVID</v>
      </c>
    </row>
    <row r="427" spans="1:13" x14ac:dyDescent="0.25">
      <c r="A427" s="2">
        <v>43696</v>
      </c>
      <c r="B427" t="s">
        <v>42</v>
      </c>
      <c r="C427">
        <v>8</v>
      </c>
      <c r="D427" s="3">
        <v>4.07</v>
      </c>
      <c r="E427" s="3">
        <v>32.56</v>
      </c>
      <c r="F427">
        <v>10</v>
      </c>
      <c r="G427">
        <v>3</v>
      </c>
      <c r="H427" s="4">
        <v>1.2</v>
      </c>
      <c r="I427" t="s">
        <v>33</v>
      </c>
      <c r="J427" t="s">
        <v>33</v>
      </c>
      <c r="L427">
        <f t="shared" si="12"/>
        <v>2019</v>
      </c>
      <c r="M427" t="str">
        <f t="shared" si="13"/>
        <v>Pre-COVID</v>
      </c>
    </row>
    <row r="428" spans="1:13" x14ac:dyDescent="0.25">
      <c r="A428" s="2">
        <v>43696</v>
      </c>
      <c r="B428" t="s">
        <v>43</v>
      </c>
      <c r="C428">
        <v>6</v>
      </c>
      <c r="D428" s="3">
        <v>5.47</v>
      </c>
      <c r="E428" s="3">
        <v>32.82</v>
      </c>
      <c r="F428">
        <v>9</v>
      </c>
      <c r="G428">
        <v>4</v>
      </c>
      <c r="H428" s="4">
        <v>0.7</v>
      </c>
      <c r="I428" t="s">
        <v>33</v>
      </c>
      <c r="J428" t="s">
        <v>33</v>
      </c>
      <c r="L428">
        <f t="shared" si="12"/>
        <v>2019</v>
      </c>
      <c r="M428" t="str">
        <f t="shared" si="13"/>
        <v>Pre-COVID</v>
      </c>
    </row>
    <row r="429" spans="1:13" x14ac:dyDescent="0.25">
      <c r="A429" s="2">
        <v>43696</v>
      </c>
      <c r="B429" t="s">
        <v>44</v>
      </c>
      <c r="C429">
        <v>0</v>
      </c>
      <c r="D429" s="3">
        <v>4.72</v>
      </c>
      <c r="E429" s="3">
        <v>0</v>
      </c>
      <c r="F429">
        <v>3</v>
      </c>
      <c r="G429">
        <v>3</v>
      </c>
      <c r="H429" s="4">
        <v>1.5</v>
      </c>
      <c r="I429" t="s">
        <v>33</v>
      </c>
      <c r="J429" t="s">
        <v>33</v>
      </c>
      <c r="L429">
        <f t="shared" si="12"/>
        <v>2019</v>
      </c>
      <c r="M429" t="str">
        <f t="shared" si="13"/>
        <v>Pre-COVID</v>
      </c>
    </row>
    <row r="430" spans="1:13" x14ac:dyDescent="0.25">
      <c r="A430" s="2">
        <v>43696</v>
      </c>
      <c r="B430" t="s">
        <v>45</v>
      </c>
      <c r="C430">
        <v>2</v>
      </c>
      <c r="D430" s="3">
        <v>14.83</v>
      </c>
      <c r="E430" s="3">
        <v>29.66</v>
      </c>
      <c r="F430">
        <v>3</v>
      </c>
      <c r="G430">
        <v>1</v>
      </c>
      <c r="H430" s="4">
        <v>1.2</v>
      </c>
      <c r="I430" t="s">
        <v>46</v>
      </c>
      <c r="J430" t="s">
        <v>33</v>
      </c>
      <c r="L430">
        <f t="shared" si="12"/>
        <v>2019</v>
      </c>
      <c r="M430" t="str">
        <f t="shared" si="13"/>
        <v>Pre-COVID</v>
      </c>
    </row>
    <row r="431" spans="1:13" x14ac:dyDescent="0.25">
      <c r="A431" s="2">
        <v>43703</v>
      </c>
      <c r="B431" t="s">
        <v>32</v>
      </c>
      <c r="C431">
        <v>20</v>
      </c>
      <c r="D431" s="3">
        <v>6.97</v>
      </c>
      <c r="E431" s="3">
        <v>139.4</v>
      </c>
      <c r="F431">
        <v>29</v>
      </c>
      <c r="G431">
        <v>9</v>
      </c>
      <c r="H431" s="4">
        <v>0.7</v>
      </c>
      <c r="I431" t="s">
        <v>33</v>
      </c>
      <c r="J431" t="s">
        <v>33</v>
      </c>
      <c r="L431">
        <f t="shared" si="12"/>
        <v>2019</v>
      </c>
      <c r="M431" t="str">
        <f t="shared" si="13"/>
        <v>Pre-COVID</v>
      </c>
    </row>
    <row r="432" spans="1:13" x14ac:dyDescent="0.25">
      <c r="A432" s="2">
        <v>43703</v>
      </c>
      <c r="B432" t="s">
        <v>34</v>
      </c>
      <c r="C432">
        <v>9</v>
      </c>
      <c r="D432" s="3">
        <v>6.86</v>
      </c>
      <c r="E432" s="3">
        <v>61.74</v>
      </c>
      <c r="F432">
        <v>12</v>
      </c>
      <c r="G432">
        <v>4</v>
      </c>
      <c r="H432" s="4">
        <v>1.2</v>
      </c>
      <c r="I432" t="s">
        <v>33</v>
      </c>
      <c r="J432" t="s">
        <v>33</v>
      </c>
      <c r="L432">
        <f t="shared" si="12"/>
        <v>2019</v>
      </c>
      <c r="M432" t="str">
        <f t="shared" si="13"/>
        <v>Pre-COVID</v>
      </c>
    </row>
    <row r="433" spans="1:13" x14ac:dyDescent="0.25">
      <c r="A433" s="2">
        <v>43703</v>
      </c>
      <c r="B433" t="s">
        <v>35</v>
      </c>
      <c r="C433">
        <v>8</v>
      </c>
      <c r="D433" s="3">
        <v>6.04</v>
      </c>
      <c r="E433" s="3">
        <v>48.32</v>
      </c>
      <c r="F433">
        <v>12</v>
      </c>
      <c r="G433">
        <v>5</v>
      </c>
      <c r="H433" s="4">
        <v>1.1000000000000001</v>
      </c>
      <c r="I433" t="s">
        <v>33</v>
      </c>
      <c r="J433" t="s">
        <v>33</v>
      </c>
      <c r="L433">
        <f t="shared" si="12"/>
        <v>2019</v>
      </c>
      <c r="M433" t="str">
        <f t="shared" si="13"/>
        <v>Pre-COVID</v>
      </c>
    </row>
    <row r="434" spans="1:13" x14ac:dyDescent="0.25">
      <c r="A434" s="2">
        <v>43703</v>
      </c>
      <c r="B434" t="s">
        <v>36</v>
      </c>
      <c r="C434">
        <v>10</v>
      </c>
      <c r="D434" s="3">
        <v>5.99</v>
      </c>
      <c r="E434" s="3">
        <v>59.9</v>
      </c>
      <c r="F434">
        <v>13</v>
      </c>
      <c r="G434">
        <v>5</v>
      </c>
      <c r="H434" s="4">
        <v>0.1</v>
      </c>
      <c r="I434" t="s">
        <v>33</v>
      </c>
      <c r="J434" t="s">
        <v>33</v>
      </c>
      <c r="L434">
        <f t="shared" si="12"/>
        <v>2019</v>
      </c>
      <c r="M434" t="str">
        <f t="shared" si="13"/>
        <v>Pre-COVID</v>
      </c>
    </row>
    <row r="435" spans="1:13" x14ac:dyDescent="0.25">
      <c r="A435" s="2">
        <v>43703</v>
      </c>
      <c r="B435" t="s">
        <v>37</v>
      </c>
      <c r="C435">
        <v>11</v>
      </c>
      <c r="D435" s="3">
        <v>3.1</v>
      </c>
      <c r="E435" s="3">
        <v>34.1</v>
      </c>
      <c r="F435">
        <v>17</v>
      </c>
      <c r="G435">
        <v>6</v>
      </c>
      <c r="H435" s="4">
        <v>0.7</v>
      </c>
      <c r="I435" t="s">
        <v>33</v>
      </c>
      <c r="J435" t="s">
        <v>33</v>
      </c>
      <c r="L435">
        <f t="shared" si="12"/>
        <v>2019</v>
      </c>
      <c r="M435" t="str">
        <f t="shared" si="13"/>
        <v>Pre-COVID</v>
      </c>
    </row>
    <row r="436" spans="1:13" x14ac:dyDescent="0.25">
      <c r="A436" s="2">
        <v>43703</v>
      </c>
      <c r="B436" t="s">
        <v>38</v>
      </c>
      <c r="C436">
        <v>7</v>
      </c>
      <c r="D436" s="3">
        <v>8.67</v>
      </c>
      <c r="E436" s="3">
        <v>60.69</v>
      </c>
      <c r="F436">
        <v>9</v>
      </c>
      <c r="G436">
        <v>2</v>
      </c>
      <c r="H436" s="4">
        <v>0.9</v>
      </c>
      <c r="I436" t="s">
        <v>33</v>
      </c>
      <c r="J436" t="s">
        <v>33</v>
      </c>
      <c r="L436">
        <f t="shared" si="12"/>
        <v>2019</v>
      </c>
      <c r="M436" t="str">
        <f t="shared" si="13"/>
        <v>Pre-COVID</v>
      </c>
    </row>
    <row r="437" spans="1:13" x14ac:dyDescent="0.25">
      <c r="A437" s="2">
        <v>43703</v>
      </c>
      <c r="B437" t="s">
        <v>39</v>
      </c>
      <c r="C437">
        <v>16</v>
      </c>
      <c r="D437" s="3">
        <v>12.06</v>
      </c>
      <c r="E437" s="3">
        <v>192.96</v>
      </c>
      <c r="F437">
        <v>18</v>
      </c>
      <c r="G437">
        <v>4</v>
      </c>
      <c r="H437" s="4">
        <v>0.7</v>
      </c>
      <c r="I437" t="s">
        <v>33</v>
      </c>
      <c r="J437" t="s">
        <v>33</v>
      </c>
      <c r="L437">
        <f t="shared" si="12"/>
        <v>2019</v>
      </c>
      <c r="M437" t="str">
        <f t="shared" si="13"/>
        <v>Pre-COVID</v>
      </c>
    </row>
    <row r="438" spans="1:13" x14ac:dyDescent="0.25">
      <c r="A438" s="2">
        <v>43703</v>
      </c>
      <c r="B438" t="s">
        <v>40</v>
      </c>
      <c r="C438">
        <v>9</v>
      </c>
      <c r="D438" s="3">
        <v>0.67</v>
      </c>
      <c r="E438" s="3">
        <v>6.03</v>
      </c>
      <c r="F438">
        <v>11</v>
      </c>
      <c r="G438">
        <v>3</v>
      </c>
      <c r="H438" s="4">
        <v>0.2</v>
      </c>
      <c r="I438" t="s">
        <v>33</v>
      </c>
      <c r="J438" t="s">
        <v>33</v>
      </c>
      <c r="L438">
        <f t="shared" si="12"/>
        <v>2019</v>
      </c>
      <c r="M438" t="str">
        <f t="shared" si="13"/>
        <v>Pre-COVID</v>
      </c>
    </row>
    <row r="439" spans="1:13" x14ac:dyDescent="0.25">
      <c r="A439" s="2">
        <v>43703</v>
      </c>
      <c r="B439" t="s">
        <v>41</v>
      </c>
      <c r="C439">
        <v>8</v>
      </c>
      <c r="D439" s="3">
        <v>1.41</v>
      </c>
      <c r="E439" s="3">
        <v>11.28</v>
      </c>
      <c r="F439">
        <v>8</v>
      </c>
      <c r="G439">
        <v>0</v>
      </c>
      <c r="H439" s="4">
        <v>1.2</v>
      </c>
      <c r="I439" t="s">
        <v>33</v>
      </c>
      <c r="J439" t="s">
        <v>33</v>
      </c>
      <c r="L439">
        <f t="shared" si="12"/>
        <v>2019</v>
      </c>
      <c r="M439" t="str">
        <f t="shared" si="13"/>
        <v>Pre-COVID</v>
      </c>
    </row>
    <row r="440" spans="1:13" x14ac:dyDescent="0.25">
      <c r="A440" s="2">
        <v>43703</v>
      </c>
      <c r="B440" t="s">
        <v>42</v>
      </c>
      <c r="C440">
        <v>7</v>
      </c>
      <c r="D440" s="3">
        <v>4.3600000000000003</v>
      </c>
      <c r="E440" s="3">
        <v>30.52</v>
      </c>
      <c r="F440">
        <v>10</v>
      </c>
      <c r="G440">
        <v>5</v>
      </c>
      <c r="H440" s="4">
        <v>1.5</v>
      </c>
      <c r="I440" t="s">
        <v>33</v>
      </c>
      <c r="J440" t="s">
        <v>33</v>
      </c>
      <c r="L440">
        <f t="shared" si="12"/>
        <v>2019</v>
      </c>
      <c r="M440" t="str">
        <f t="shared" si="13"/>
        <v>Pre-COVID</v>
      </c>
    </row>
    <row r="441" spans="1:13" x14ac:dyDescent="0.25">
      <c r="A441" s="2">
        <v>43703</v>
      </c>
      <c r="B441" t="s">
        <v>43</v>
      </c>
      <c r="C441">
        <v>7</v>
      </c>
      <c r="D441" s="3">
        <v>5.73</v>
      </c>
      <c r="E441" s="3">
        <v>40.11</v>
      </c>
      <c r="F441">
        <v>8</v>
      </c>
      <c r="G441">
        <v>2</v>
      </c>
      <c r="H441" s="4">
        <v>0.4</v>
      </c>
      <c r="I441" t="s">
        <v>33</v>
      </c>
      <c r="J441" t="s">
        <v>33</v>
      </c>
      <c r="L441">
        <f t="shared" si="12"/>
        <v>2019</v>
      </c>
      <c r="M441" t="str">
        <f t="shared" si="13"/>
        <v>Pre-COVID</v>
      </c>
    </row>
    <row r="442" spans="1:13" x14ac:dyDescent="0.25">
      <c r="A442" s="2">
        <v>43703</v>
      </c>
      <c r="B442" t="s">
        <v>44</v>
      </c>
      <c r="C442">
        <v>0</v>
      </c>
      <c r="D442" s="3">
        <v>4.8</v>
      </c>
      <c r="E442" s="3">
        <v>0</v>
      </c>
      <c r="F442">
        <v>3</v>
      </c>
      <c r="G442">
        <v>3</v>
      </c>
      <c r="H442" s="4">
        <v>0.7</v>
      </c>
      <c r="I442" t="s">
        <v>33</v>
      </c>
      <c r="J442" t="s">
        <v>33</v>
      </c>
      <c r="L442">
        <f t="shared" si="12"/>
        <v>2019</v>
      </c>
      <c r="M442" t="str">
        <f t="shared" si="13"/>
        <v>Pre-COVID</v>
      </c>
    </row>
    <row r="443" spans="1:13" x14ac:dyDescent="0.25">
      <c r="A443" s="2">
        <v>43703</v>
      </c>
      <c r="B443" t="s">
        <v>45</v>
      </c>
      <c r="C443">
        <v>0</v>
      </c>
      <c r="D443" s="3">
        <v>15.11</v>
      </c>
      <c r="E443" s="3">
        <v>0</v>
      </c>
      <c r="F443">
        <v>3</v>
      </c>
      <c r="G443">
        <v>3</v>
      </c>
      <c r="H443" s="4">
        <v>0.7</v>
      </c>
      <c r="I443" t="s">
        <v>33</v>
      </c>
      <c r="J443" t="s">
        <v>33</v>
      </c>
      <c r="L443">
        <f t="shared" si="12"/>
        <v>2019</v>
      </c>
      <c r="M443" t="str">
        <f t="shared" si="13"/>
        <v>Pre-COVID</v>
      </c>
    </row>
    <row r="444" spans="1:13" x14ac:dyDescent="0.25">
      <c r="A444" s="2">
        <v>43710</v>
      </c>
      <c r="B444" t="s">
        <v>32</v>
      </c>
      <c r="C444">
        <v>14</v>
      </c>
      <c r="D444" s="3">
        <v>6.56</v>
      </c>
      <c r="E444" s="3">
        <v>91.84</v>
      </c>
      <c r="F444">
        <v>16</v>
      </c>
      <c r="G444">
        <v>5</v>
      </c>
      <c r="H444" s="4">
        <v>0.8</v>
      </c>
      <c r="I444" t="s">
        <v>33</v>
      </c>
      <c r="J444" t="s">
        <v>33</v>
      </c>
      <c r="L444">
        <f t="shared" si="12"/>
        <v>2019</v>
      </c>
      <c r="M444" t="str">
        <f t="shared" si="13"/>
        <v>Pre-COVID</v>
      </c>
    </row>
    <row r="445" spans="1:13" x14ac:dyDescent="0.25">
      <c r="A445" s="2">
        <v>43710</v>
      </c>
      <c r="B445" t="s">
        <v>34</v>
      </c>
      <c r="C445">
        <v>9</v>
      </c>
      <c r="D445" s="3">
        <v>7.4</v>
      </c>
      <c r="E445" s="3">
        <v>66.599999999999994</v>
      </c>
      <c r="F445">
        <v>15</v>
      </c>
      <c r="G445">
        <v>8</v>
      </c>
      <c r="H445" s="4">
        <v>0.5</v>
      </c>
      <c r="I445" t="s">
        <v>33</v>
      </c>
      <c r="J445" t="s">
        <v>33</v>
      </c>
      <c r="L445">
        <f t="shared" si="12"/>
        <v>2019</v>
      </c>
      <c r="M445" t="str">
        <f t="shared" si="13"/>
        <v>Pre-COVID</v>
      </c>
    </row>
    <row r="446" spans="1:13" x14ac:dyDescent="0.25">
      <c r="A446" s="2">
        <v>43710</v>
      </c>
      <c r="B446" t="s">
        <v>35</v>
      </c>
      <c r="C446">
        <v>9</v>
      </c>
      <c r="D446" s="3">
        <v>6</v>
      </c>
      <c r="E446" s="3">
        <v>54</v>
      </c>
      <c r="F446">
        <v>11</v>
      </c>
      <c r="G446">
        <v>3</v>
      </c>
      <c r="H446" s="4">
        <v>1</v>
      </c>
      <c r="I446" t="s">
        <v>33</v>
      </c>
      <c r="J446" t="s">
        <v>33</v>
      </c>
      <c r="L446">
        <f t="shared" si="12"/>
        <v>2019</v>
      </c>
      <c r="M446" t="str">
        <f t="shared" si="13"/>
        <v>Pre-COVID</v>
      </c>
    </row>
    <row r="447" spans="1:13" x14ac:dyDescent="0.25">
      <c r="A447" s="2">
        <v>43710</v>
      </c>
      <c r="B447" t="s">
        <v>36</v>
      </c>
      <c r="C447">
        <v>10</v>
      </c>
      <c r="D447" s="3">
        <v>6.34</v>
      </c>
      <c r="E447" s="3">
        <v>63.4</v>
      </c>
      <c r="F447">
        <v>10</v>
      </c>
      <c r="G447">
        <v>1</v>
      </c>
      <c r="H447" s="4">
        <v>1.5</v>
      </c>
      <c r="I447" t="s">
        <v>33</v>
      </c>
      <c r="J447" t="s">
        <v>33</v>
      </c>
      <c r="L447">
        <f t="shared" si="12"/>
        <v>2019</v>
      </c>
      <c r="M447" t="str">
        <f t="shared" si="13"/>
        <v>Pre-COVID</v>
      </c>
    </row>
    <row r="448" spans="1:13" x14ac:dyDescent="0.25">
      <c r="A448" s="2">
        <v>43710</v>
      </c>
      <c r="B448" t="s">
        <v>37</v>
      </c>
      <c r="C448">
        <v>20</v>
      </c>
      <c r="D448" s="3">
        <v>3.18</v>
      </c>
      <c r="E448" s="3">
        <v>63.6</v>
      </c>
      <c r="F448">
        <v>24</v>
      </c>
      <c r="G448">
        <v>7</v>
      </c>
      <c r="H448" s="4">
        <v>1</v>
      </c>
      <c r="I448" t="s">
        <v>33</v>
      </c>
      <c r="J448" t="s">
        <v>33</v>
      </c>
      <c r="L448">
        <f t="shared" si="12"/>
        <v>2019</v>
      </c>
      <c r="M448" t="str">
        <f t="shared" si="13"/>
        <v>Pre-COVID</v>
      </c>
    </row>
    <row r="449" spans="1:13" x14ac:dyDescent="0.25">
      <c r="A449" s="2">
        <v>43710</v>
      </c>
      <c r="B449" t="s">
        <v>38</v>
      </c>
      <c r="C449">
        <v>10</v>
      </c>
      <c r="D449" s="3">
        <v>8.8800000000000008</v>
      </c>
      <c r="E449" s="3">
        <v>88.8</v>
      </c>
      <c r="F449">
        <v>10</v>
      </c>
      <c r="G449">
        <v>0</v>
      </c>
      <c r="H449" s="4">
        <v>1.2</v>
      </c>
      <c r="I449" t="s">
        <v>33</v>
      </c>
      <c r="J449" t="s">
        <v>33</v>
      </c>
      <c r="L449">
        <f t="shared" si="12"/>
        <v>2019</v>
      </c>
      <c r="M449" t="str">
        <f t="shared" si="13"/>
        <v>Pre-COVID</v>
      </c>
    </row>
    <row r="450" spans="1:13" x14ac:dyDescent="0.25">
      <c r="A450" s="2">
        <v>43710</v>
      </c>
      <c r="B450" t="s">
        <v>39</v>
      </c>
      <c r="C450">
        <v>17</v>
      </c>
      <c r="D450" s="3">
        <v>11.71</v>
      </c>
      <c r="E450" s="3">
        <v>199.07</v>
      </c>
      <c r="F450">
        <v>18</v>
      </c>
      <c r="G450">
        <v>1</v>
      </c>
      <c r="H450" s="4">
        <v>0</v>
      </c>
      <c r="I450" t="s">
        <v>33</v>
      </c>
      <c r="J450" t="s">
        <v>33</v>
      </c>
      <c r="L450">
        <f t="shared" ref="L450:L513" si="14">YEAR(A450)</f>
        <v>2019</v>
      </c>
      <c r="M450" t="str">
        <f t="shared" ref="M450:M513" si="15">IF(L450=2019,"Pre-COVID","COVID Period")</f>
        <v>Pre-COVID</v>
      </c>
    </row>
    <row r="451" spans="1:13" x14ac:dyDescent="0.25">
      <c r="A451" s="2">
        <v>43710</v>
      </c>
      <c r="B451" t="s">
        <v>40</v>
      </c>
      <c r="C451">
        <v>11</v>
      </c>
      <c r="D451" s="3">
        <v>0.65</v>
      </c>
      <c r="E451" s="3">
        <v>7.15</v>
      </c>
      <c r="F451">
        <v>14</v>
      </c>
      <c r="G451">
        <v>3</v>
      </c>
      <c r="H451" s="4">
        <v>0.3</v>
      </c>
      <c r="I451" t="s">
        <v>33</v>
      </c>
      <c r="J451" t="s">
        <v>33</v>
      </c>
      <c r="L451">
        <f t="shared" si="14"/>
        <v>2019</v>
      </c>
      <c r="M451" t="str">
        <f t="shared" si="15"/>
        <v>Pre-COVID</v>
      </c>
    </row>
    <row r="452" spans="1:13" x14ac:dyDescent="0.25">
      <c r="A452" s="2">
        <v>43710</v>
      </c>
      <c r="B452" t="s">
        <v>41</v>
      </c>
      <c r="C452">
        <v>7</v>
      </c>
      <c r="D452" s="3">
        <v>1.32</v>
      </c>
      <c r="E452" s="3">
        <v>9.24</v>
      </c>
      <c r="F452">
        <v>10</v>
      </c>
      <c r="G452">
        <v>3</v>
      </c>
      <c r="H452" s="4">
        <v>0.9</v>
      </c>
      <c r="I452" t="s">
        <v>33</v>
      </c>
      <c r="J452" t="s">
        <v>33</v>
      </c>
      <c r="L452">
        <f t="shared" si="14"/>
        <v>2019</v>
      </c>
      <c r="M452" t="str">
        <f t="shared" si="15"/>
        <v>Pre-COVID</v>
      </c>
    </row>
    <row r="453" spans="1:13" x14ac:dyDescent="0.25">
      <c r="A453" s="2">
        <v>43710</v>
      </c>
      <c r="B453" t="s">
        <v>42</v>
      </c>
      <c r="C453">
        <v>7</v>
      </c>
      <c r="D453" s="3">
        <v>4.1100000000000003</v>
      </c>
      <c r="E453" s="3">
        <v>28.77</v>
      </c>
      <c r="F453">
        <v>10</v>
      </c>
      <c r="G453">
        <v>4</v>
      </c>
      <c r="H453" s="4">
        <v>0.7</v>
      </c>
      <c r="I453" t="s">
        <v>33</v>
      </c>
      <c r="J453" t="s">
        <v>33</v>
      </c>
      <c r="L453">
        <f t="shared" si="14"/>
        <v>2019</v>
      </c>
      <c r="M453" t="str">
        <f t="shared" si="15"/>
        <v>Pre-COVID</v>
      </c>
    </row>
    <row r="454" spans="1:13" x14ac:dyDescent="0.25">
      <c r="A454" s="2">
        <v>43710</v>
      </c>
      <c r="B454" t="s">
        <v>43</v>
      </c>
      <c r="C454">
        <v>5</v>
      </c>
      <c r="D454" s="3">
        <v>5.28</v>
      </c>
      <c r="E454" s="3">
        <v>26.4</v>
      </c>
      <c r="F454">
        <v>8</v>
      </c>
      <c r="G454">
        <v>3</v>
      </c>
      <c r="H454" s="4">
        <v>0</v>
      </c>
      <c r="I454" t="s">
        <v>33</v>
      </c>
      <c r="J454" t="s">
        <v>33</v>
      </c>
      <c r="L454">
        <f t="shared" si="14"/>
        <v>2019</v>
      </c>
      <c r="M454" t="str">
        <f t="shared" si="15"/>
        <v>Pre-COVID</v>
      </c>
    </row>
    <row r="455" spans="1:13" x14ac:dyDescent="0.25">
      <c r="A455" s="2">
        <v>43710</v>
      </c>
      <c r="B455" t="s">
        <v>44</v>
      </c>
      <c r="C455">
        <v>0</v>
      </c>
      <c r="D455" s="3">
        <v>4.88</v>
      </c>
      <c r="E455" s="3">
        <v>0</v>
      </c>
      <c r="F455">
        <v>3</v>
      </c>
      <c r="G455">
        <v>3</v>
      </c>
      <c r="H455" s="4">
        <v>0.9</v>
      </c>
      <c r="I455" t="s">
        <v>33</v>
      </c>
      <c r="J455" t="s">
        <v>33</v>
      </c>
      <c r="L455">
        <f t="shared" si="14"/>
        <v>2019</v>
      </c>
      <c r="M455" t="str">
        <f t="shared" si="15"/>
        <v>Pre-COVID</v>
      </c>
    </row>
    <row r="456" spans="1:13" x14ac:dyDescent="0.25">
      <c r="A456" s="2">
        <v>43710</v>
      </c>
      <c r="B456" t="s">
        <v>45</v>
      </c>
      <c r="C456">
        <v>0</v>
      </c>
      <c r="D456" s="3">
        <v>14.59</v>
      </c>
      <c r="E456" s="3">
        <v>0</v>
      </c>
      <c r="F456">
        <v>3</v>
      </c>
      <c r="G456">
        <v>3</v>
      </c>
      <c r="H456" s="4">
        <v>0.2</v>
      </c>
      <c r="I456" t="s">
        <v>33</v>
      </c>
      <c r="J456" t="s">
        <v>33</v>
      </c>
      <c r="L456">
        <f t="shared" si="14"/>
        <v>2019</v>
      </c>
      <c r="M456" t="str">
        <f t="shared" si="15"/>
        <v>Pre-COVID</v>
      </c>
    </row>
    <row r="457" spans="1:13" x14ac:dyDescent="0.25">
      <c r="A457" s="2">
        <v>43717</v>
      </c>
      <c r="B457" t="s">
        <v>32</v>
      </c>
      <c r="C457">
        <v>14</v>
      </c>
      <c r="D457" s="3">
        <v>6.59</v>
      </c>
      <c r="E457" s="3">
        <v>92.26</v>
      </c>
      <c r="F457">
        <v>19</v>
      </c>
      <c r="G457">
        <v>6</v>
      </c>
      <c r="H457" s="4">
        <v>1.6</v>
      </c>
      <c r="I457" t="s">
        <v>33</v>
      </c>
      <c r="J457" t="s">
        <v>33</v>
      </c>
      <c r="L457">
        <f t="shared" si="14"/>
        <v>2019</v>
      </c>
      <c r="M457" t="str">
        <f t="shared" si="15"/>
        <v>Pre-COVID</v>
      </c>
    </row>
    <row r="458" spans="1:13" x14ac:dyDescent="0.25">
      <c r="A458" s="2">
        <v>43717</v>
      </c>
      <c r="B458" t="s">
        <v>34</v>
      </c>
      <c r="C458">
        <v>9</v>
      </c>
      <c r="D458" s="3">
        <v>7.37</v>
      </c>
      <c r="E458" s="3">
        <v>66.33</v>
      </c>
      <c r="F458">
        <v>13</v>
      </c>
      <c r="G458">
        <v>5</v>
      </c>
      <c r="H458" s="4">
        <v>1</v>
      </c>
      <c r="I458" t="s">
        <v>33</v>
      </c>
      <c r="J458" t="s">
        <v>33</v>
      </c>
      <c r="L458">
        <f t="shared" si="14"/>
        <v>2019</v>
      </c>
      <c r="M458" t="str">
        <f t="shared" si="15"/>
        <v>Pre-COVID</v>
      </c>
    </row>
    <row r="459" spans="1:13" x14ac:dyDescent="0.25">
      <c r="A459" s="2">
        <v>43717</v>
      </c>
      <c r="B459" t="s">
        <v>35</v>
      </c>
      <c r="C459">
        <v>10</v>
      </c>
      <c r="D459" s="3">
        <v>5.85</v>
      </c>
      <c r="E459" s="3">
        <v>58.5</v>
      </c>
      <c r="F459">
        <v>15</v>
      </c>
      <c r="G459">
        <v>6</v>
      </c>
      <c r="H459" s="4">
        <v>0.6</v>
      </c>
      <c r="I459" t="s">
        <v>33</v>
      </c>
      <c r="J459" t="s">
        <v>33</v>
      </c>
      <c r="L459">
        <f t="shared" si="14"/>
        <v>2019</v>
      </c>
      <c r="M459" t="str">
        <f t="shared" si="15"/>
        <v>Pre-COVID</v>
      </c>
    </row>
    <row r="460" spans="1:13" x14ac:dyDescent="0.25">
      <c r="A460" s="2">
        <v>43717</v>
      </c>
      <c r="B460" t="s">
        <v>36</v>
      </c>
      <c r="C460">
        <v>9</v>
      </c>
      <c r="D460" s="3">
        <v>6.15</v>
      </c>
      <c r="E460" s="3">
        <v>55.35</v>
      </c>
      <c r="F460">
        <v>12</v>
      </c>
      <c r="G460">
        <v>3</v>
      </c>
      <c r="H460" s="4">
        <v>0.4</v>
      </c>
      <c r="I460" t="s">
        <v>33</v>
      </c>
      <c r="J460" t="s">
        <v>33</v>
      </c>
      <c r="L460">
        <f t="shared" si="14"/>
        <v>2019</v>
      </c>
      <c r="M460" t="str">
        <f t="shared" si="15"/>
        <v>Pre-COVID</v>
      </c>
    </row>
    <row r="461" spans="1:13" x14ac:dyDescent="0.25">
      <c r="A461" s="2">
        <v>43717</v>
      </c>
      <c r="B461" t="s">
        <v>37</v>
      </c>
      <c r="C461">
        <v>24</v>
      </c>
      <c r="D461" s="3">
        <v>3.21</v>
      </c>
      <c r="E461" s="3">
        <v>77.040000000000006</v>
      </c>
      <c r="F461">
        <v>33</v>
      </c>
      <c r="G461">
        <v>11</v>
      </c>
      <c r="H461" s="4">
        <v>0.4</v>
      </c>
      <c r="I461" t="s">
        <v>33</v>
      </c>
      <c r="J461" t="s">
        <v>33</v>
      </c>
      <c r="L461">
        <f t="shared" si="14"/>
        <v>2019</v>
      </c>
      <c r="M461" t="str">
        <f t="shared" si="15"/>
        <v>Pre-COVID</v>
      </c>
    </row>
    <row r="462" spans="1:13" x14ac:dyDescent="0.25">
      <c r="A462" s="2">
        <v>43717</v>
      </c>
      <c r="B462" t="s">
        <v>38</v>
      </c>
      <c r="C462">
        <v>13</v>
      </c>
      <c r="D462" s="3">
        <v>8.5</v>
      </c>
      <c r="E462" s="3">
        <v>110.5</v>
      </c>
      <c r="F462">
        <v>18</v>
      </c>
      <c r="G462">
        <v>6</v>
      </c>
      <c r="H462" s="4">
        <v>0.5</v>
      </c>
      <c r="I462" t="s">
        <v>33</v>
      </c>
      <c r="J462" t="s">
        <v>33</v>
      </c>
      <c r="L462">
        <f t="shared" si="14"/>
        <v>2019</v>
      </c>
      <c r="M462" t="str">
        <f t="shared" si="15"/>
        <v>Pre-COVID</v>
      </c>
    </row>
    <row r="463" spans="1:13" x14ac:dyDescent="0.25">
      <c r="A463" s="2">
        <v>43717</v>
      </c>
      <c r="B463" t="s">
        <v>39</v>
      </c>
      <c r="C463">
        <v>13</v>
      </c>
      <c r="D463" s="3">
        <v>11.18</v>
      </c>
      <c r="E463" s="3">
        <v>145.34</v>
      </c>
      <c r="F463">
        <v>17</v>
      </c>
      <c r="G463">
        <v>6</v>
      </c>
      <c r="H463" s="4">
        <v>1.4</v>
      </c>
      <c r="I463" t="s">
        <v>33</v>
      </c>
      <c r="J463" t="s">
        <v>33</v>
      </c>
      <c r="L463">
        <f t="shared" si="14"/>
        <v>2019</v>
      </c>
      <c r="M463" t="str">
        <f t="shared" si="15"/>
        <v>Pre-COVID</v>
      </c>
    </row>
    <row r="464" spans="1:13" x14ac:dyDescent="0.25">
      <c r="A464" s="2">
        <v>43717</v>
      </c>
      <c r="B464" t="s">
        <v>40</v>
      </c>
      <c r="C464">
        <v>9</v>
      </c>
      <c r="D464" s="3">
        <v>0.68</v>
      </c>
      <c r="E464" s="3">
        <v>6.12</v>
      </c>
      <c r="F464">
        <v>13</v>
      </c>
      <c r="G464">
        <v>4</v>
      </c>
      <c r="H464" s="4">
        <v>0.7</v>
      </c>
      <c r="I464" t="s">
        <v>33</v>
      </c>
      <c r="J464" t="s">
        <v>33</v>
      </c>
      <c r="L464">
        <f t="shared" si="14"/>
        <v>2019</v>
      </c>
      <c r="M464" t="str">
        <f t="shared" si="15"/>
        <v>Pre-COVID</v>
      </c>
    </row>
    <row r="465" spans="1:13" x14ac:dyDescent="0.25">
      <c r="A465" s="2">
        <v>43717</v>
      </c>
      <c r="B465" t="s">
        <v>41</v>
      </c>
      <c r="C465">
        <v>5</v>
      </c>
      <c r="D465" s="3">
        <v>1.37</v>
      </c>
      <c r="E465" s="3">
        <v>6.85</v>
      </c>
      <c r="F465">
        <v>7</v>
      </c>
      <c r="G465">
        <v>2</v>
      </c>
      <c r="H465" s="4">
        <v>0.2</v>
      </c>
      <c r="I465" t="s">
        <v>33</v>
      </c>
      <c r="J465" t="s">
        <v>33</v>
      </c>
      <c r="L465">
        <f t="shared" si="14"/>
        <v>2019</v>
      </c>
      <c r="M465" t="str">
        <f t="shared" si="15"/>
        <v>Pre-COVID</v>
      </c>
    </row>
    <row r="466" spans="1:13" x14ac:dyDescent="0.25">
      <c r="A466" s="2">
        <v>43717</v>
      </c>
      <c r="B466" t="s">
        <v>42</v>
      </c>
      <c r="C466">
        <v>9</v>
      </c>
      <c r="D466" s="3">
        <v>4.04</v>
      </c>
      <c r="E466" s="3">
        <v>36.36</v>
      </c>
      <c r="F466">
        <v>10</v>
      </c>
      <c r="G466">
        <v>2</v>
      </c>
      <c r="H466" s="4">
        <v>0.6</v>
      </c>
      <c r="I466" t="s">
        <v>33</v>
      </c>
      <c r="J466" t="s">
        <v>33</v>
      </c>
      <c r="L466">
        <f t="shared" si="14"/>
        <v>2019</v>
      </c>
      <c r="M466" t="str">
        <f t="shared" si="15"/>
        <v>Pre-COVID</v>
      </c>
    </row>
    <row r="467" spans="1:13" x14ac:dyDescent="0.25">
      <c r="A467" s="2">
        <v>43717</v>
      </c>
      <c r="B467" t="s">
        <v>43</v>
      </c>
      <c r="C467">
        <v>4</v>
      </c>
      <c r="D467" s="3">
        <v>5.35</v>
      </c>
      <c r="E467" s="3">
        <v>21.4</v>
      </c>
      <c r="F467">
        <v>5</v>
      </c>
      <c r="G467">
        <v>2</v>
      </c>
      <c r="H467" s="4">
        <v>0.5</v>
      </c>
      <c r="I467" t="s">
        <v>33</v>
      </c>
      <c r="J467" t="s">
        <v>33</v>
      </c>
      <c r="L467">
        <f t="shared" si="14"/>
        <v>2019</v>
      </c>
      <c r="M467" t="str">
        <f t="shared" si="15"/>
        <v>Pre-COVID</v>
      </c>
    </row>
    <row r="468" spans="1:13" x14ac:dyDescent="0.25">
      <c r="A468" s="2">
        <v>43717</v>
      </c>
      <c r="B468" t="s">
        <v>44</v>
      </c>
      <c r="C468">
        <v>0</v>
      </c>
      <c r="D468" s="3">
        <v>4.91</v>
      </c>
      <c r="E468" s="3">
        <v>0</v>
      </c>
      <c r="F468">
        <v>3</v>
      </c>
      <c r="G468">
        <v>3</v>
      </c>
      <c r="H468" s="4">
        <v>1.6</v>
      </c>
      <c r="I468" t="s">
        <v>33</v>
      </c>
      <c r="J468" t="s">
        <v>33</v>
      </c>
      <c r="L468">
        <f t="shared" si="14"/>
        <v>2019</v>
      </c>
      <c r="M468" t="str">
        <f t="shared" si="15"/>
        <v>Pre-COVID</v>
      </c>
    </row>
    <row r="469" spans="1:13" x14ac:dyDescent="0.25">
      <c r="A469" s="2">
        <v>43717</v>
      </c>
      <c r="B469" t="s">
        <v>45</v>
      </c>
      <c r="C469">
        <v>0</v>
      </c>
      <c r="D469" s="3">
        <v>14.67</v>
      </c>
      <c r="E469" s="3">
        <v>0</v>
      </c>
      <c r="F469">
        <v>3</v>
      </c>
      <c r="G469">
        <v>3</v>
      </c>
      <c r="H469" s="4">
        <v>0.4</v>
      </c>
      <c r="I469" t="s">
        <v>33</v>
      </c>
      <c r="J469" t="s">
        <v>33</v>
      </c>
      <c r="L469">
        <f t="shared" si="14"/>
        <v>2019</v>
      </c>
      <c r="M469" t="str">
        <f t="shared" si="15"/>
        <v>Pre-COVID</v>
      </c>
    </row>
    <row r="470" spans="1:13" x14ac:dyDescent="0.25">
      <c r="A470" s="2">
        <v>43724</v>
      </c>
      <c r="B470" t="s">
        <v>32</v>
      </c>
      <c r="C470">
        <v>17</v>
      </c>
      <c r="D470" s="3">
        <v>6.88</v>
      </c>
      <c r="E470" s="3">
        <v>116.96</v>
      </c>
      <c r="F470">
        <v>27</v>
      </c>
      <c r="G470">
        <v>13</v>
      </c>
      <c r="H470" s="4">
        <v>1.9</v>
      </c>
      <c r="I470" t="s">
        <v>33</v>
      </c>
      <c r="J470" t="s">
        <v>33</v>
      </c>
      <c r="L470">
        <f t="shared" si="14"/>
        <v>2019</v>
      </c>
      <c r="M470" t="str">
        <f t="shared" si="15"/>
        <v>Pre-COVID</v>
      </c>
    </row>
    <row r="471" spans="1:13" x14ac:dyDescent="0.25">
      <c r="A471" s="2">
        <v>43724</v>
      </c>
      <c r="B471" t="s">
        <v>34</v>
      </c>
      <c r="C471">
        <v>11</v>
      </c>
      <c r="D471" s="3">
        <v>7.23</v>
      </c>
      <c r="E471" s="3">
        <v>79.53</v>
      </c>
      <c r="F471">
        <v>14</v>
      </c>
      <c r="G471">
        <v>5</v>
      </c>
      <c r="H471" s="4">
        <v>0</v>
      </c>
      <c r="I471" t="s">
        <v>33</v>
      </c>
      <c r="J471" t="s">
        <v>33</v>
      </c>
      <c r="L471">
        <f t="shared" si="14"/>
        <v>2019</v>
      </c>
      <c r="M471" t="str">
        <f t="shared" si="15"/>
        <v>Pre-COVID</v>
      </c>
    </row>
    <row r="472" spans="1:13" x14ac:dyDescent="0.25">
      <c r="A472" s="2">
        <v>43724</v>
      </c>
      <c r="B472" t="s">
        <v>35</v>
      </c>
      <c r="C472">
        <v>12</v>
      </c>
      <c r="D472" s="3">
        <v>6.1</v>
      </c>
      <c r="E472" s="3">
        <v>73.2</v>
      </c>
      <c r="F472">
        <v>17</v>
      </c>
      <c r="G472">
        <v>7</v>
      </c>
      <c r="H472" s="4">
        <v>1.8</v>
      </c>
      <c r="I472" t="s">
        <v>33</v>
      </c>
      <c r="J472" t="s">
        <v>33</v>
      </c>
      <c r="L472">
        <f t="shared" si="14"/>
        <v>2019</v>
      </c>
      <c r="M472" t="str">
        <f t="shared" si="15"/>
        <v>Pre-COVID</v>
      </c>
    </row>
    <row r="473" spans="1:13" x14ac:dyDescent="0.25">
      <c r="A473" s="2">
        <v>43724</v>
      </c>
      <c r="B473" t="s">
        <v>36</v>
      </c>
      <c r="C473">
        <v>6</v>
      </c>
      <c r="D473" s="3">
        <v>6.21</v>
      </c>
      <c r="E473" s="3">
        <v>37.26</v>
      </c>
      <c r="F473">
        <v>7</v>
      </c>
      <c r="G473">
        <v>2</v>
      </c>
      <c r="H473" s="4">
        <v>1.3</v>
      </c>
      <c r="I473" t="s">
        <v>33</v>
      </c>
      <c r="J473" t="s">
        <v>33</v>
      </c>
      <c r="L473">
        <f t="shared" si="14"/>
        <v>2019</v>
      </c>
      <c r="M473" t="str">
        <f t="shared" si="15"/>
        <v>Pre-COVID</v>
      </c>
    </row>
    <row r="474" spans="1:13" x14ac:dyDescent="0.25">
      <c r="A474" s="2">
        <v>43724</v>
      </c>
      <c r="B474" t="s">
        <v>37</v>
      </c>
      <c r="C474">
        <v>24</v>
      </c>
      <c r="D474" s="3">
        <v>3.23</v>
      </c>
      <c r="E474" s="3">
        <v>77.52</v>
      </c>
      <c r="F474">
        <v>37</v>
      </c>
      <c r="G474">
        <v>19</v>
      </c>
      <c r="H474" s="4">
        <v>0.4</v>
      </c>
      <c r="I474" t="s">
        <v>33</v>
      </c>
      <c r="J474" t="s">
        <v>33</v>
      </c>
      <c r="L474">
        <f t="shared" si="14"/>
        <v>2019</v>
      </c>
      <c r="M474" t="str">
        <f t="shared" si="15"/>
        <v>Pre-COVID</v>
      </c>
    </row>
    <row r="475" spans="1:13" x14ac:dyDescent="0.25">
      <c r="A475" s="2">
        <v>43724</v>
      </c>
      <c r="B475" t="s">
        <v>38</v>
      </c>
      <c r="C475">
        <v>12</v>
      </c>
      <c r="D475" s="3">
        <v>8.18</v>
      </c>
      <c r="E475" s="3">
        <v>98.16</v>
      </c>
      <c r="F475">
        <v>17</v>
      </c>
      <c r="G475">
        <v>7</v>
      </c>
      <c r="H475" s="4">
        <v>0.2</v>
      </c>
      <c r="I475" t="s">
        <v>33</v>
      </c>
      <c r="J475" t="s">
        <v>33</v>
      </c>
      <c r="L475">
        <f t="shared" si="14"/>
        <v>2019</v>
      </c>
      <c r="M475" t="str">
        <f t="shared" si="15"/>
        <v>Pre-COVID</v>
      </c>
    </row>
    <row r="476" spans="1:13" x14ac:dyDescent="0.25">
      <c r="A476" s="2">
        <v>43724</v>
      </c>
      <c r="B476" t="s">
        <v>39</v>
      </c>
      <c r="C476">
        <v>20</v>
      </c>
      <c r="D476" s="3">
        <v>11.3</v>
      </c>
      <c r="E476" s="3">
        <v>226</v>
      </c>
      <c r="F476">
        <v>26</v>
      </c>
      <c r="G476">
        <v>7</v>
      </c>
      <c r="H476" s="4">
        <v>1.7</v>
      </c>
      <c r="I476" t="s">
        <v>33</v>
      </c>
      <c r="J476" t="s">
        <v>33</v>
      </c>
      <c r="L476">
        <f t="shared" si="14"/>
        <v>2019</v>
      </c>
      <c r="M476" t="str">
        <f t="shared" si="15"/>
        <v>Pre-COVID</v>
      </c>
    </row>
    <row r="477" spans="1:13" x14ac:dyDescent="0.25">
      <c r="A477" s="2">
        <v>43724</v>
      </c>
      <c r="B477" t="s">
        <v>40</v>
      </c>
      <c r="C477">
        <v>9</v>
      </c>
      <c r="D477" s="3">
        <v>0.67</v>
      </c>
      <c r="E477" s="3">
        <v>6.03</v>
      </c>
      <c r="F477">
        <v>11</v>
      </c>
      <c r="G477">
        <v>2</v>
      </c>
      <c r="H477" s="4">
        <v>0.4</v>
      </c>
      <c r="I477" t="s">
        <v>33</v>
      </c>
      <c r="J477" t="s">
        <v>33</v>
      </c>
      <c r="L477">
        <f t="shared" si="14"/>
        <v>2019</v>
      </c>
      <c r="M477" t="str">
        <f t="shared" si="15"/>
        <v>Pre-COVID</v>
      </c>
    </row>
    <row r="478" spans="1:13" x14ac:dyDescent="0.25">
      <c r="A478" s="2">
        <v>43724</v>
      </c>
      <c r="B478" t="s">
        <v>41</v>
      </c>
      <c r="C478">
        <v>8</v>
      </c>
      <c r="D478" s="3">
        <v>1.33</v>
      </c>
      <c r="E478" s="3">
        <v>10.64</v>
      </c>
      <c r="F478">
        <v>9</v>
      </c>
      <c r="G478">
        <v>3</v>
      </c>
      <c r="H478" s="4">
        <v>0.6</v>
      </c>
      <c r="I478" t="s">
        <v>33</v>
      </c>
      <c r="J478" t="s">
        <v>33</v>
      </c>
      <c r="L478">
        <f t="shared" si="14"/>
        <v>2019</v>
      </c>
      <c r="M478" t="str">
        <f t="shared" si="15"/>
        <v>Pre-COVID</v>
      </c>
    </row>
    <row r="479" spans="1:13" x14ac:dyDescent="0.25">
      <c r="A479" s="2">
        <v>43724</v>
      </c>
      <c r="B479" t="s">
        <v>42</v>
      </c>
      <c r="C479">
        <v>8</v>
      </c>
      <c r="D479" s="3">
        <v>4.32</v>
      </c>
      <c r="E479" s="3">
        <v>34.56</v>
      </c>
      <c r="F479">
        <v>12</v>
      </c>
      <c r="G479">
        <v>4</v>
      </c>
      <c r="H479" s="4">
        <v>0</v>
      </c>
      <c r="I479" t="s">
        <v>33</v>
      </c>
      <c r="J479" t="s">
        <v>33</v>
      </c>
      <c r="L479">
        <f t="shared" si="14"/>
        <v>2019</v>
      </c>
      <c r="M479" t="str">
        <f t="shared" si="15"/>
        <v>Pre-COVID</v>
      </c>
    </row>
    <row r="480" spans="1:13" x14ac:dyDescent="0.25">
      <c r="A480" s="2">
        <v>43724</v>
      </c>
      <c r="B480" t="s">
        <v>43</v>
      </c>
      <c r="C480">
        <v>5</v>
      </c>
      <c r="D480" s="3">
        <v>5.55</v>
      </c>
      <c r="E480" s="3">
        <v>27.75</v>
      </c>
      <c r="F480">
        <v>8</v>
      </c>
      <c r="G480">
        <v>4</v>
      </c>
      <c r="H480" s="4">
        <v>0.4</v>
      </c>
      <c r="I480" t="s">
        <v>33</v>
      </c>
      <c r="J480" t="s">
        <v>33</v>
      </c>
      <c r="L480">
        <f t="shared" si="14"/>
        <v>2019</v>
      </c>
      <c r="M480" t="str">
        <f t="shared" si="15"/>
        <v>Pre-COVID</v>
      </c>
    </row>
    <row r="481" spans="1:13" x14ac:dyDescent="0.25">
      <c r="A481" s="2">
        <v>43724</v>
      </c>
      <c r="B481" t="s">
        <v>44</v>
      </c>
      <c r="C481">
        <v>1</v>
      </c>
      <c r="D481" s="3">
        <v>4.67</v>
      </c>
      <c r="E481" s="3">
        <v>4.67</v>
      </c>
      <c r="F481">
        <v>3</v>
      </c>
      <c r="G481">
        <v>3</v>
      </c>
      <c r="H481" s="4">
        <v>0.4</v>
      </c>
      <c r="I481" t="s">
        <v>46</v>
      </c>
      <c r="J481" t="s">
        <v>33</v>
      </c>
      <c r="K481" t="s">
        <v>47</v>
      </c>
      <c r="L481">
        <f t="shared" si="14"/>
        <v>2019</v>
      </c>
      <c r="M481" t="str">
        <f t="shared" si="15"/>
        <v>Pre-COVID</v>
      </c>
    </row>
    <row r="482" spans="1:13" x14ac:dyDescent="0.25">
      <c r="A482" s="2">
        <v>43724</v>
      </c>
      <c r="B482" t="s">
        <v>45</v>
      </c>
      <c r="C482">
        <v>1</v>
      </c>
      <c r="D482" s="3">
        <v>15.08</v>
      </c>
      <c r="E482" s="3">
        <v>15.08</v>
      </c>
      <c r="F482">
        <v>3</v>
      </c>
      <c r="G482">
        <v>2</v>
      </c>
      <c r="H482" s="4">
        <v>0.8</v>
      </c>
      <c r="I482" t="s">
        <v>46</v>
      </c>
      <c r="J482" t="s">
        <v>33</v>
      </c>
      <c r="L482">
        <f t="shared" si="14"/>
        <v>2019</v>
      </c>
      <c r="M482" t="str">
        <f t="shared" si="15"/>
        <v>Pre-COVID</v>
      </c>
    </row>
    <row r="483" spans="1:13" x14ac:dyDescent="0.25">
      <c r="A483" s="2">
        <v>43731</v>
      </c>
      <c r="B483" t="s">
        <v>32</v>
      </c>
      <c r="C483">
        <v>18</v>
      </c>
      <c r="D483" s="3">
        <v>6.89</v>
      </c>
      <c r="E483" s="3">
        <v>124.02</v>
      </c>
      <c r="F483">
        <v>19</v>
      </c>
      <c r="G483">
        <v>2</v>
      </c>
      <c r="H483" s="4">
        <v>0.1</v>
      </c>
      <c r="I483" t="s">
        <v>33</v>
      </c>
      <c r="J483" t="s">
        <v>33</v>
      </c>
      <c r="L483">
        <f t="shared" si="14"/>
        <v>2019</v>
      </c>
      <c r="M483" t="str">
        <f t="shared" si="15"/>
        <v>Pre-COVID</v>
      </c>
    </row>
    <row r="484" spans="1:13" x14ac:dyDescent="0.25">
      <c r="A484" s="2">
        <v>43731</v>
      </c>
      <c r="B484" t="s">
        <v>34</v>
      </c>
      <c r="C484">
        <v>14</v>
      </c>
      <c r="D484" s="3">
        <v>6.85</v>
      </c>
      <c r="E484" s="3">
        <v>95.9</v>
      </c>
      <c r="F484">
        <v>16</v>
      </c>
      <c r="G484">
        <v>4</v>
      </c>
      <c r="H484" s="4">
        <v>1</v>
      </c>
      <c r="I484" t="s">
        <v>33</v>
      </c>
      <c r="J484" t="s">
        <v>33</v>
      </c>
      <c r="L484">
        <f t="shared" si="14"/>
        <v>2019</v>
      </c>
      <c r="M484" t="str">
        <f t="shared" si="15"/>
        <v>Pre-COVID</v>
      </c>
    </row>
    <row r="485" spans="1:13" x14ac:dyDescent="0.25">
      <c r="A485" s="2">
        <v>43731</v>
      </c>
      <c r="B485" t="s">
        <v>35</v>
      </c>
      <c r="C485">
        <v>11</v>
      </c>
      <c r="D485" s="3">
        <v>5.69</v>
      </c>
      <c r="E485" s="3">
        <v>62.59</v>
      </c>
      <c r="F485">
        <v>13</v>
      </c>
      <c r="G485">
        <v>4</v>
      </c>
      <c r="H485" s="4">
        <v>0.2</v>
      </c>
      <c r="I485" t="s">
        <v>33</v>
      </c>
      <c r="J485" t="s">
        <v>33</v>
      </c>
      <c r="L485">
        <f t="shared" si="14"/>
        <v>2019</v>
      </c>
      <c r="M485" t="str">
        <f t="shared" si="15"/>
        <v>Pre-COVID</v>
      </c>
    </row>
    <row r="486" spans="1:13" x14ac:dyDescent="0.25">
      <c r="A486" s="2">
        <v>43731</v>
      </c>
      <c r="B486" t="s">
        <v>36</v>
      </c>
      <c r="C486">
        <v>6</v>
      </c>
      <c r="D486" s="3">
        <v>6.47</v>
      </c>
      <c r="E486" s="3">
        <v>38.82</v>
      </c>
      <c r="F486">
        <v>7</v>
      </c>
      <c r="G486">
        <v>1</v>
      </c>
      <c r="H486" s="4">
        <v>1.1000000000000001</v>
      </c>
      <c r="I486" t="s">
        <v>33</v>
      </c>
      <c r="J486" t="s">
        <v>33</v>
      </c>
      <c r="L486">
        <f t="shared" si="14"/>
        <v>2019</v>
      </c>
      <c r="M486" t="str">
        <f t="shared" si="15"/>
        <v>Pre-COVID</v>
      </c>
    </row>
    <row r="487" spans="1:13" x14ac:dyDescent="0.25">
      <c r="A487" s="2">
        <v>43731</v>
      </c>
      <c r="B487" t="s">
        <v>37</v>
      </c>
      <c r="C487">
        <v>28</v>
      </c>
      <c r="D487" s="3">
        <v>3.26</v>
      </c>
      <c r="E487" s="3">
        <v>91.28</v>
      </c>
      <c r="F487">
        <v>40</v>
      </c>
      <c r="G487">
        <v>13</v>
      </c>
      <c r="H487" s="4">
        <v>1.2</v>
      </c>
      <c r="I487" t="s">
        <v>33</v>
      </c>
      <c r="J487" t="s">
        <v>33</v>
      </c>
      <c r="L487">
        <f t="shared" si="14"/>
        <v>2019</v>
      </c>
      <c r="M487" t="str">
        <f t="shared" si="15"/>
        <v>Pre-COVID</v>
      </c>
    </row>
    <row r="488" spans="1:13" x14ac:dyDescent="0.25">
      <c r="A488" s="2">
        <v>43731</v>
      </c>
      <c r="B488" t="s">
        <v>38</v>
      </c>
      <c r="C488">
        <v>17</v>
      </c>
      <c r="D488" s="3">
        <v>8.86</v>
      </c>
      <c r="E488" s="3">
        <v>150.62</v>
      </c>
      <c r="F488">
        <v>25</v>
      </c>
      <c r="G488">
        <v>8</v>
      </c>
      <c r="H488" s="4">
        <v>0.2</v>
      </c>
      <c r="I488" t="s">
        <v>33</v>
      </c>
      <c r="J488" t="s">
        <v>33</v>
      </c>
      <c r="L488">
        <f t="shared" si="14"/>
        <v>2019</v>
      </c>
      <c r="M488" t="str">
        <f t="shared" si="15"/>
        <v>Pre-COVID</v>
      </c>
    </row>
    <row r="489" spans="1:13" x14ac:dyDescent="0.25">
      <c r="A489" s="2">
        <v>43731</v>
      </c>
      <c r="B489" t="s">
        <v>39</v>
      </c>
      <c r="C489">
        <v>20</v>
      </c>
      <c r="D489" s="3">
        <v>11.61</v>
      </c>
      <c r="E489" s="3">
        <v>232.2</v>
      </c>
      <c r="F489">
        <v>33</v>
      </c>
      <c r="G489">
        <v>19</v>
      </c>
      <c r="H489" s="4">
        <v>1.3</v>
      </c>
      <c r="I489" t="s">
        <v>33</v>
      </c>
      <c r="J489" t="s">
        <v>33</v>
      </c>
      <c r="L489">
        <f t="shared" si="14"/>
        <v>2019</v>
      </c>
      <c r="M489" t="str">
        <f t="shared" si="15"/>
        <v>Pre-COVID</v>
      </c>
    </row>
    <row r="490" spans="1:13" x14ac:dyDescent="0.25">
      <c r="A490" s="2">
        <v>43731</v>
      </c>
      <c r="B490" t="s">
        <v>40</v>
      </c>
      <c r="C490">
        <v>10</v>
      </c>
      <c r="D490" s="3">
        <v>0.65</v>
      </c>
      <c r="E490" s="3">
        <v>6.5</v>
      </c>
      <c r="F490">
        <v>14</v>
      </c>
      <c r="G490">
        <v>4</v>
      </c>
      <c r="H490" s="4">
        <v>0.1</v>
      </c>
      <c r="I490" t="s">
        <v>33</v>
      </c>
      <c r="J490" t="s">
        <v>33</v>
      </c>
      <c r="L490">
        <f t="shared" si="14"/>
        <v>2019</v>
      </c>
      <c r="M490" t="str">
        <f t="shared" si="15"/>
        <v>Pre-COVID</v>
      </c>
    </row>
    <row r="491" spans="1:13" x14ac:dyDescent="0.25">
      <c r="A491" s="2">
        <v>43731</v>
      </c>
      <c r="B491" t="s">
        <v>41</v>
      </c>
      <c r="C491">
        <v>9</v>
      </c>
      <c r="D491" s="3">
        <v>1.37</v>
      </c>
      <c r="E491" s="3">
        <v>12.33</v>
      </c>
      <c r="F491">
        <v>11</v>
      </c>
      <c r="G491">
        <v>4</v>
      </c>
      <c r="H491" s="4">
        <v>0</v>
      </c>
      <c r="I491" t="s">
        <v>33</v>
      </c>
      <c r="J491" t="s">
        <v>33</v>
      </c>
      <c r="L491">
        <f t="shared" si="14"/>
        <v>2019</v>
      </c>
      <c r="M491" t="str">
        <f t="shared" si="15"/>
        <v>Pre-COVID</v>
      </c>
    </row>
    <row r="492" spans="1:13" x14ac:dyDescent="0.25">
      <c r="A492" s="2">
        <v>43731</v>
      </c>
      <c r="B492" t="s">
        <v>42</v>
      </c>
      <c r="C492">
        <v>6</v>
      </c>
      <c r="D492" s="3">
        <v>4.04</v>
      </c>
      <c r="E492" s="3">
        <v>24.24</v>
      </c>
      <c r="F492">
        <v>7</v>
      </c>
      <c r="G492">
        <v>2</v>
      </c>
      <c r="H492" s="4">
        <v>0.3</v>
      </c>
      <c r="I492" t="s">
        <v>33</v>
      </c>
      <c r="J492" t="s">
        <v>33</v>
      </c>
      <c r="L492">
        <f t="shared" si="14"/>
        <v>2019</v>
      </c>
      <c r="M492" t="str">
        <f t="shared" si="15"/>
        <v>Pre-COVID</v>
      </c>
    </row>
    <row r="493" spans="1:13" x14ac:dyDescent="0.25">
      <c r="A493" s="2">
        <v>43731</v>
      </c>
      <c r="B493" t="s">
        <v>43</v>
      </c>
      <c r="C493">
        <v>6</v>
      </c>
      <c r="D493" s="3">
        <v>5.38</v>
      </c>
      <c r="E493" s="3">
        <v>32.28</v>
      </c>
      <c r="F493">
        <v>8</v>
      </c>
      <c r="G493">
        <v>2</v>
      </c>
      <c r="H493" s="4">
        <v>0.6</v>
      </c>
      <c r="I493" t="s">
        <v>33</v>
      </c>
      <c r="J493" t="s">
        <v>33</v>
      </c>
      <c r="L493">
        <f t="shared" si="14"/>
        <v>2019</v>
      </c>
      <c r="M493" t="str">
        <f t="shared" si="15"/>
        <v>Pre-COVID</v>
      </c>
    </row>
    <row r="494" spans="1:13" x14ac:dyDescent="0.25">
      <c r="A494" s="2">
        <v>43731</v>
      </c>
      <c r="B494" t="s">
        <v>44</v>
      </c>
      <c r="C494">
        <v>1</v>
      </c>
      <c r="D494" s="3">
        <v>4.7300000000000004</v>
      </c>
      <c r="E494" s="3">
        <v>4.7300000000000004</v>
      </c>
      <c r="F494">
        <v>3</v>
      </c>
      <c r="G494">
        <v>2</v>
      </c>
      <c r="H494" s="4">
        <v>0.8</v>
      </c>
      <c r="I494" t="s">
        <v>46</v>
      </c>
      <c r="J494" t="s">
        <v>33</v>
      </c>
      <c r="K494" t="s">
        <v>47</v>
      </c>
      <c r="L494">
        <f t="shared" si="14"/>
        <v>2019</v>
      </c>
      <c r="M494" t="str">
        <f t="shared" si="15"/>
        <v>Pre-COVID</v>
      </c>
    </row>
    <row r="495" spans="1:13" x14ac:dyDescent="0.25">
      <c r="A495" s="2">
        <v>43731</v>
      </c>
      <c r="B495" t="s">
        <v>45</v>
      </c>
      <c r="C495">
        <v>1</v>
      </c>
      <c r="D495" s="3">
        <v>14.57</v>
      </c>
      <c r="E495" s="3">
        <v>14.57</v>
      </c>
      <c r="F495">
        <v>3</v>
      </c>
      <c r="G495">
        <v>2</v>
      </c>
      <c r="H495" s="4">
        <v>0</v>
      </c>
      <c r="I495" t="s">
        <v>46</v>
      </c>
      <c r="J495" t="s">
        <v>33</v>
      </c>
      <c r="L495">
        <f t="shared" si="14"/>
        <v>2019</v>
      </c>
      <c r="M495" t="str">
        <f t="shared" si="15"/>
        <v>Pre-COVID</v>
      </c>
    </row>
    <row r="496" spans="1:13" x14ac:dyDescent="0.25">
      <c r="A496" s="2">
        <v>43738</v>
      </c>
      <c r="B496" t="s">
        <v>32</v>
      </c>
      <c r="C496">
        <v>17</v>
      </c>
      <c r="D496" s="3">
        <v>6.96</v>
      </c>
      <c r="E496" s="3">
        <v>118.32</v>
      </c>
      <c r="F496">
        <v>20</v>
      </c>
      <c r="G496">
        <v>5</v>
      </c>
      <c r="H496" s="4">
        <v>0.9</v>
      </c>
      <c r="I496" t="s">
        <v>33</v>
      </c>
      <c r="J496" t="s">
        <v>33</v>
      </c>
      <c r="L496">
        <f t="shared" si="14"/>
        <v>2019</v>
      </c>
      <c r="M496" t="str">
        <f t="shared" si="15"/>
        <v>Pre-COVID</v>
      </c>
    </row>
    <row r="497" spans="1:13" x14ac:dyDescent="0.25">
      <c r="A497" s="2">
        <v>43738</v>
      </c>
      <c r="B497" t="s">
        <v>34</v>
      </c>
      <c r="C497">
        <v>16</v>
      </c>
      <c r="D497" s="3">
        <v>7.38</v>
      </c>
      <c r="E497" s="3">
        <v>118.08</v>
      </c>
      <c r="F497">
        <v>21</v>
      </c>
      <c r="G497">
        <v>5</v>
      </c>
      <c r="H497" s="4">
        <v>0.1</v>
      </c>
      <c r="I497" t="s">
        <v>33</v>
      </c>
      <c r="J497" t="s">
        <v>33</v>
      </c>
      <c r="L497">
        <f t="shared" si="14"/>
        <v>2019</v>
      </c>
      <c r="M497" t="str">
        <f t="shared" si="15"/>
        <v>Pre-COVID</v>
      </c>
    </row>
    <row r="498" spans="1:13" x14ac:dyDescent="0.25">
      <c r="A498" s="2">
        <v>43738</v>
      </c>
      <c r="B498" t="s">
        <v>35</v>
      </c>
      <c r="C498">
        <v>10</v>
      </c>
      <c r="D498" s="3">
        <v>5.8</v>
      </c>
      <c r="E498" s="3">
        <v>58</v>
      </c>
      <c r="F498">
        <v>14</v>
      </c>
      <c r="G498">
        <v>5</v>
      </c>
      <c r="H498" s="4">
        <v>1.3</v>
      </c>
      <c r="I498" t="s">
        <v>33</v>
      </c>
      <c r="J498" t="s">
        <v>33</v>
      </c>
      <c r="L498">
        <f t="shared" si="14"/>
        <v>2019</v>
      </c>
      <c r="M498" t="str">
        <f t="shared" si="15"/>
        <v>Pre-COVID</v>
      </c>
    </row>
    <row r="499" spans="1:13" x14ac:dyDescent="0.25">
      <c r="A499" s="2">
        <v>43738</v>
      </c>
      <c r="B499" t="s">
        <v>36</v>
      </c>
      <c r="C499">
        <v>11</v>
      </c>
      <c r="D499" s="3">
        <v>5.97</v>
      </c>
      <c r="E499" s="3">
        <v>65.67</v>
      </c>
      <c r="F499">
        <v>13</v>
      </c>
      <c r="G499">
        <v>3</v>
      </c>
      <c r="H499" s="4">
        <v>0.5</v>
      </c>
      <c r="I499" t="s">
        <v>33</v>
      </c>
      <c r="J499" t="s">
        <v>33</v>
      </c>
      <c r="L499">
        <f t="shared" si="14"/>
        <v>2019</v>
      </c>
      <c r="M499" t="str">
        <f t="shared" si="15"/>
        <v>Pre-COVID</v>
      </c>
    </row>
    <row r="500" spans="1:13" x14ac:dyDescent="0.25">
      <c r="A500" s="2">
        <v>43738</v>
      </c>
      <c r="B500" t="s">
        <v>37</v>
      </c>
      <c r="C500">
        <v>25</v>
      </c>
      <c r="D500" s="3">
        <v>3.09</v>
      </c>
      <c r="E500" s="3">
        <v>77.25</v>
      </c>
      <c r="F500">
        <v>27</v>
      </c>
      <c r="G500">
        <v>2</v>
      </c>
      <c r="H500" s="4">
        <v>0.6</v>
      </c>
      <c r="I500" t="s">
        <v>33</v>
      </c>
      <c r="J500" t="s">
        <v>33</v>
      </c>
      <c r="L500">
        <f t="shared" si="14"/>
        <v>2019</v>
      </c>
      <c r="M500" t="str">
        <f t="shared" si="15"/>
        <v>Pre-COVID</v>
      </c>
    </row>
    <row r="501" spans="1:13" x14ac:dyDescent="0.25">
      <c r="A501" s="2">
        <v>43738</v>
      </c>
      <c r="B501" t="s">
        <v>38</v>
      </c>
      <c r="C501">
        <v>9</v>
      </c>
      <c r="D501" s="3">
        <v>8.9</v>
      </c>
      <c r="E501" s="3">
        <v>80.099999999999994</v>
      </c>
      <c r="F501">
        <v>11</v>
      </c>
      <c r="G501">
        <v>2</v>
      </c>
      <c r="H501" s="4">
        <v>1</v>
      </c>
      <c r="I501" t="s">
        <v>33</v>
      </c>
      <c r="J501" t="s">
        <v>33</v>
      </c>
      <c r="L501">
        <f t="shared" si="14"/>
        <v>2019</v>
      </c>
      <c r="M501" t="str">
        <f t="shared" si="15"/>
        <v>Pre-COVID</v>
      </c>
    </row>
    <row r="502" spans="1:13" x14ac:dyDescent="0.25">
      <c r="A502" s="2">
        <v>43738</v>
      </c>
      <c r="B502" t="s">
        <v>39</v>
      </c>
      <c r="C502">
        <v>14</v>
      </c>
      <c r="D502" s="3">
        <v>11.6</v>
      </c>
      <c r="E502" s="3">
        <v>162.4</v>
      </c>
      <c r="F502">
        <v>22</v>
      </c>
      <c r="G502">
        <v>9</v>
      </c>
      <c r="H502" s="4">
        <v>1.6</v>
      </c>
      <c r="I502" t="s">
        <v>33</v>
      </c>
      <c r="J502" t="s">
        <v>33</v>
      </c>
      <c r="L502">
        <f t="shared" si="14"/>
        <v>2019</v>
      </c>
      <c r="M502" t="str">
        <f t="shared" si="15"/>
        <v>Pre-COVID</v>
      </c>
    </row>
    <row r="503" spans="1:13" x14ac:dyDescent="0.25">
      <c r="A503" s="2">
        <v>43738</v>
      </c>
      <c r="B503" t="s">
        <v>40</v>
      </c>
      <c r="C503">
        <v>11</v>
      </c>
      <c r="D503" s="3">
        <v>0.64</v>
      </c>
      <c r="E503" s="3">
        <v>7.04</v>
      </c>
      <c r="F503">
        <v>15</v>
      </c>
      <c r="G503">
        <v>5</v>
      </c>
      <c r="H503" s="4">
        <v>1.1000000000000001</v>
      </c>
      <c r="I503" t="s">
        <v>33</v>
      </c>
      <c r="J503" t="s">
        <v>33</v>
      </c>
      <c r="L503">
        <f t="shared" si="14"/>
        <v>2019</v>
      </c>
      <c r="M503" t="str">
        <f t="shared" si="15"/>
        <v>Pre-COVID</v>
      </c>
    </row>
    <row r="504" spans="1:13" x14ac:dyDescent="0.25">
      <c r="A504" s="2">
        <v>43738</v>
      </c>
      <c r="B504" t="s">
        <v>41</v>
      </c>
      <c r="C504">
        <v>5</v>
      </c>
      <c r="D504" s="3">
        <v>1.33</v>
      </c>
      <c r="E504" s="3">
        <v>6.65</v>
      </c>
      <c r="F504">
        <v>7</v>
      </c>
      <c r="G504">
        <v>2</v>
      </c>
      <c r="H504" s="4">
        <v>1.6</v>
      </c>
      <c r="I504" t="s">
        <v>33</v>
      </c>
      <c r="J504" t="s">
        <v>33</v>
      </c>
      <c r="L504">
        <f t="shared" si="14"/>
        <v>2019</v>
      </c>
      <c r="M504" t="str">
        <f t="shared" si="15"/>
        <v>Pre-COVID</v>
      </c>
    </row>
    <row r="505" spans="1:13" x14ac:dyDescent="0.25">
      <c r="A505" s="2">
        <v>43738</v>
      </c>
      <c r="B505" t="s">
        <v>42</v>
      </c>
      <c r="C505">
        <v>12</v>
      </c>
      <c r="D505" s="3">
        <v>4.12</v>
      </c>
      <c r="E505" s="3">
        <v>49.44</v>
      </c>
      <c r="F505">
        <v>17</v>
      </c>
      <c r="G505">
        <v>7</v>
      </c>
      <c r="H505" s="4">
        <v>0.6</v>
      </c>
      <c r="I505" t="s">
        <v>33</v>
      </c>
      <c r="J505" t="s">
        <v>33</v>
      </c>
      <c r="L505">
        <f t="shared" si="14"/>
        <v>2019</v>
      </c>
      <c r="M505" t="str">
        <f t="shared" si="15"/>
        <v>Pre-COVID</v>
      </c>
    </row>
    <row r="506" spans="1:13" x14ac:dyDescent="0.25">
      <c r="A506" s="2">
        <v>43738</v>
      </c>
      <c r="B506" t="s">
        <v>43</v>
      </c>
      <c r="C506">
        <v>5</v>
      </c>
      <c r="D506" s="3">
        <v>5.73</v>
      </c>
      <c r="E506" s="3">
        <v>28.65</v>
      </c>
      <c r="F506">
        <v>7</v>
      </c>
      <c r="G506">
        <v>2</v>
      </c>
      <c r="H506" s="4">
        <v>0.7</v>
      </c>
      <c r="I506" t="s">
        <v>33</v>
      </c>
      <c r="J506" t="s">
        <v>33</v>
      </c>
      <c r="L506">
        <f t="shared" si="14"/>
        <v>2019</v>
      </c>
      <c r="M506" t="str">
        <f t="shared" si="15"/>
        <v>Pre-COVID</v>
      </c>
    </row>
    <row r="507" spans="1:13" x14ac:dyDescent="0.25">
      <c r="A507" s="2">
        <v>43738</v>
      </c>
      <c r="B507" t="s">
        <v>44</v>
      </c>
      <c r="C507">
        <v>0</v>
      </c>
      <c r="D507" s="3">
        <v>4.74</v>
      </c>
      <c r="E507" s="3">
        <v>0</v>
      </c>
      <c r="F507">
        <v>3</v>
      </c>
      <c r="G507">
        <v>3</v>
      </c>
      <c r="H507" s="4">
        <v>0.4</v>
      </c>
      <c r="I507" t="s">
        <v>33</v>
      </c>
      <c r="J507" t="s">
        <v>33</v>
      </c>
      <c r="L507">
        <f t="shared" si="14"/>
        <v>2019</v>
      </c>
      <c r="M507" t="str">
        <f t="shared" si="15"/>
        <v>Pre-COVID</v>
      </c>
    </row>
    <row r="508" spans="1:13" x14ac:dyDescent="0.25">
      <c r="A508" s="2">
        <v>43738</v>
      </c>
      <c r="B508" t="s">
        <v>45</v>
      </c>
      <c r="C508">
        <v>0</v>
      </c>
      <c r="D508" s="3">
        <v>15.48</v>
      </c>
      <c r="E508" s="3">
        <v>0</v>
      </c>
      <c r="F508">
        <v>3</v>
      </c>
      <c r="G508">
        <v>3</v>
      </c>
      <c r="H508" s="4">
        <v>1.6</v>
      </c>
      <c r="I508" t="s">
        <v>33</v>
      </c>
      <c r="J508" t="s">
        <v>33</v>
      </c>
      <c r="L508">
        <f t="shared" si="14"/>
        <v>2019</v>
      </c>
      <c r="M508" t="str">
        <f t="shared" si="15"/>
        <v>Pre-COVID</v>
      </c>
    </row>
    <row r="509" spans="1:13" x14ac:dyDescent="0.25">
      <c r="A509" s="2">
        <v>43745</v>
      </c>
      <c r="B509" t="s">
        <v>32</v>
      </c>
      <c r="C509">
        <v>18</v>
      </c>
      <c r="D509" s="3">
        <v>7.07</v>
      </c>
      <c r="E509" s="3">
        <v>127.26</v>
      </c>
      <c r="F509">
        <v>24</v>
      </c>
      <c r="G509">
        <v>8</v>
      </c>
      <c r="H509" s="4">
        <v>0.8</v>
      </c>
      <c r="I509" t="s">
        <v>33</v>
      </c>
      <c r="J509" t="s">
        <v>33</v>
      </c>
      <c r="L509">
        <f t="shared" si="14"/>
        <v>2019</v>
      </c>
      <c r="M509" t="str">
        <f t="shared" si="15"/>
        <v>Pre-COVID</v>
      </c>
    </row>
    <row r="510" spans="1:13" x14ac:dyDescent="0.25">
      <c r="A510" s="2">
        <v>43745</v>
      </c>
      <c r="B510" t="s">
        <v>34</v>
      </c>
      <c r="C510">
        <v>10</v>
      </c>
      <c r="D510" s="3">
        <v>6.84</v>
      </c>
      <c r="E510" s="3">
        <v>68.400000000000006</v>
      </c>
      <c r="F510">
        <v>11</v>
      </c>
      <c r="G510">
        <v>1</v>
      </c>
      <c r="H510" s="4">
        <v>0.5</v>
      </c>
      <c r="I510" t="s">
        <v>33</v>
      </c>
      <c r="J510" t="s">
        <v>33</v>
      </c>
      <c r="L510">
        <f t="shared" si="14"/>
        <v>2019</v>
      </c>
      <c r="M510" t="str">
        <f t="shared" si="15"/>
        <v>Pre-COVID</v>
      </c>
    </row>
    <row r="511" spans="1:13" x14ac:dyDescent="0.25">
      <c r="A511" s="2">
        <v>43745</v>
      </c>
      <c r="B511" t="s">
        <v>35</v>
      </c>
      <c r="C511">
        <v>11</v>
      </c>
      <c r="D511" s="3">
        <v>5.74</v>
      </c>
      <c r="E511" s="3">
        <v>63.14</v>
      </c>
      <c r="F511">
        <v>17</v>
      </c>
      <c r="G511">
        <v>8</v>
      </c>
      <c r="H511" s="4">
        <v>0.9</v>
      </c>
      <c r="I511" t="s">
        <v>33</v>
      </c>
      <c r="J511" t="s">
        <v>33</v>
      </c>
      <c r="L511">
        <f t="shared" si="14"/>
        <v>2019</v>
      </c>
      <c r="M511" t="str">
        <f t="shared" si="15"/>
        <v>Pre-COVID</v>
      </c>
    </row>
    <row r="512" spans="1:13" x14ac:dyDescent="0.25">
      <c r="A512" s="2">
        <v>43745</v>
      </c>
      <c r="B512" t="s">
        <v>36</v>
      </c>
      <c r="C512">
        <v>11</v>
      </c>
      <c r="D512" s="3">
        <v>6.34</v>
      </c>
      <c r="E512" s="3">
        <v>69.739999999999995</v>
      </c>
      <c r="F512">
        <v>12</v>
      </c>
      <c r="G512">
        <v>2</v>
      </c>
      <c r="H512" s="4">
        <v>0.2</v>
      </c>
      <c r="I512" t="s">
        <v>33</v>
      </c>
      <c r="J512" t="s">
        <v>33</v>
      </c>
      <c r="L512">
        <f t="shared" si="14"/>
        <v>2019</v>
      </c>
      <c r="M512" t="str">
        <f t="shared" si="15"/>
        <v>Pre-COVID</v>
      </c>
    </row>
    <row r="513" spans="1:13" x14ac:dyDescent="0.25">
      <c r="A513" s="2">
        <v>43745</v>
      </c>
      <c r="B513" t="s">
        <v>37</v>
      </c>
      <c r="C513">
        <v>12</v>
      </c>
      <c r="D513" s="3">
        <v>3.27</v>
      </c>
      <c r="E513" s="3">
        <v>39.24</v>
      </c>
      <c r="F513">
        <v>18</v>
      </c>
      <c r="G513">
        <v>7</v>
      </c>
      <c r="H513" s="4">
        <v>1.4</v>
      </c>
      <c r="I513" t="s">
        <v>33</v>
      </c>
      <c r="J513" t="s">
        <v>33</v>
      </c>
      <c r="L513">
        <f t="shared" si="14"/>
        <v>2019</v>
      </c>
      <c r="M513" t="str">
        <f t="shared" si="15"/>
        <v>Pre-COVID</v>
      </c>
    </row>
    <row r="514" spans="1:13" x14ac:dyDescent="0.25">
      <c r="A514" s="2">
        <v>43745</v>
      </c>
      <c r="B514" t="s">
        <v>38</v>
      </c>
      <c r="C514">
        <v>8</v>
      </c>
      <c r="D514" s="3">
        <v>8.2100000000000009</v>
      </c>
      <c r="E514" s="3">
        <v>65.680000000000007</v>
      </c>
      <c r="F514">
        <v>12</v>
      </c>
      <c r="G514">
        <v>5</v>
      </c>
      <c r="H514" s="4">
        <v>0</v>
      </c>
      <c r="I514" t="s">
        <v>33</v>
      </c>
      <c r="J514" t="s">
        <v>33</v>
      </c>
      <c r="L514">
        <f t="shared" ref="L514:L577" si="16">YEAR(A514)</f>
        <v>2019</v>
      </c>
      <c r="M514" t="str">
        <f t="shared" ref="M514:M577" si="17">IF(L514=2019,"Pre-COVID","COVID Period")</f>
        <v>Pre-COVID</v>
      </c>
    </row>
    <row r="515" spans="1:13" x14ac:dyDescent="0.25">
      <c r="A515" s="2">
        <v>43745</v>
      </c>
      <c r="B515" t="s">
        <v>39</v>
      </c>
      <c r="C515">
        <v>22</v>
      </c>
      <c r="D515" s="3">
        <v>11.66</v>
      </c>
      <c r="E515" s="3">
        <v>256.52</v>
      </c>
      <c r="F515">
        <v>26</v>
      </c>
      <c r="G515">
        <v>5</v>
      </c>
      <c r="H515" s="4">
        <v>0.5</v>
      </c>
      <c r="I515" t="s">
        <v>33</v>
      </c>
      <c r="J515" t="s">
        <v>33</v>
      </c>
      <c r="L515">
        <f t="shared" si="16"/>
        <v>2019</v>
      </c>
      <c r="M515" t="str">
        <f t="shared" si="17"/>
        <v>Pre-COVID</v>
      </c>
    </row>
    <row r="516" spans="1:13" x14ac:dyDescent="0.25">
      <c r="A516" s="2">
        <v>43745</v>
      </c>
      <c r="B516" t="s">
        <v>40</v>
      </c>
      <c r="C516">
        <v>10</v>
      </c>
      <c r="D516" s="3">
        <v>0.63</v>
      </c>
      <c r="E516" s="3">
        <v>6.3</v>
      </c>
      <c r="F516">
        <v>16</v>
      </c>
      <c r="G516">
        <v>9</v>
      </c>
      <c r="H516" s="4">
        <v>0.5</v>
      </c>
      <c r="I516" t="s">
        <v>33</v>
      </c>
      <c r="J516" t="s">
        <v>33</v>
      </c>
      <c r="L516">
        <f t="shared" si="16"/>
        <v>2019</v>
      </c>
      <c r="M516" t="str">
        <f t="shared" si="17"/>
        <v>Pre-COVID</v>
      </c>
    </row>
    <row r="517" spans="1:13" x14ac:dyDescent="0.25">
      <c r="A517" s="2">
        <v>43745</v>
      </c>
      <c r="B517" t="s">
        <v>41</v>
      </c>
      <c r="C517">
        <v>6</v>
      </c>
      <c r="D517" s="3">
        <v>1.39</v>
      </c>
      <c r="E517" s="3">
        <v>8.34</v>
      </c>
      <c r="F517">
        <v>10</v>
      </c>
      <c r="G517">
        <v>5</v>
      </c>
      <c r="H517" s="4">
        <v>1.4</v>
      </c>
      <c r="I517" t="s">
        <v>33</v>
      </c>
      <c r="J517" t="s">
        <v>33</v>
      </c>
      <c r="L517">
        <f t="shared" si="16"/>
        <v>2019</v>
      </c>
      <c r="M517" t="str">
        <f t="shared" si="17"/>
        <v>Pre-COVID</v>
      </c>
    </row>
    <row r="518" spans="1:13" x14ac:dyDescent="0.25">
      <c r="A518" s="2">
        <v>43745</v>
      </c>
      <c r="B518" t="s">
        <v>42</v>
      </c>
      <c r="C518">
        <v>10</v>
      </c>
      <c r="D518" s="3">
        <v>4.33</v>
      </c>
      <c r="E518" s="3">
        <v>43.3</v>
      </c>
      <c r="F518">
        <v>13</v>
      </c>
      <c r="G518">
        <v>5</v>
      </c>
      <c r="H518" s="4">
        <v>0.4</v>
      </c>
      <c r="I518" t="s">
        <v>33</v>
      </c>
      <c r="J518" t="s">
        <v>33</v>
      </c>
      <c r="L518">
        <f t="shared" si="16"/>
        <v>2019</v>
      </c>
      <c r="M518" t="str">
        <f t="shared" si="17"/>
        <v>Pre-COVID</v>
      </c>
    </row>
    <row r="519" spans="1:13" x14ac:dyDescent="0.25">
      <c r="A519" s="2">
        <v>43745</v>
      </c>
      <c r="B519" t="s">
        <v>43</v>
      </c>
      <c r="C519">
        <v>6</v>
      </c>
      <c r="D519" s="3">
        <v>5.53</v>
      </c>
      <c r="E519" s="3">
        <v>33.18</v>
      </c>
      <c r="F519">
        <v>8</v>
      </c>
      <c r="G519">
        <v>3</v>
      </c>
      <c r="H519" s="4">
        <v>0</v>
      </c>
      <c r="I519" t="s">
        <v>33</v>
      </c>
      <c r="J519" t="s">
        <v>33</v>
      </c>
      <c r="L519">
        <f t="shared" si="16"/>
        <v>2019</v>
      </c>
      <c r="M519" t="str">
        <f t="shared" si="17"/>
        <v>Pre-COVID</v>
      </c>
    </row>
    <row r="520" spans="1:13" x14ac:dyDescent="0.25">
      <c r="A520" s="2">
        <v>43745</v>
      </c>
      <c r="B520" t="s">
        <v>44</v>
      </c>
      <c r="C520">
        <v>0</v>
      </c>
      <c r="D520" s="3">
        <v>4.9000000000000004</v>
      </c>
      <c r="E520" s="3">
        <v>0</v>
      </c>
      <c r="F520">
        <v>3</v>
      </c>
      <c r="G520">
        <v>3</v>
      </c>
      <c r="H520" s="4">
        <v>0.9</v>
      </c>
      <c r="I520" t="s">
        <v>33</v>
      </c>
      <c r="J520" t="s">
        <v>33</v>
      </c>
      <c r="L520">
        <f t="shared" si="16"/>
        <v>2019</v>
      </c>
      <c r="M520" t="str">
        <f t="shared" si="17"/>
        <v>Pre-COVID</v>
      </c>
    </row>
    <row r="521" spans="1:13" x14ac:dyDescent="0.25">
      <c r="A521" s="2">
        <v>43745</v>
      </c>
      <c r="B521" t="s">
        <v>45</v>
      </c>
      <c r="C521">
        <v>0</v>
      </c>
      <c r="D521" s="3">
        <v>15.25</v>
      </c>
      <c r="E521" s="3">
        <v>0</v>
      </c>
      <c r="F521">
        <v>3</v>
      </c>
      <c r="G521">
        <v>3</v>
      </c>
      <c r="H521" s="4">
        <v>0.7</v>
      </c>
      <c r="I521" t="s">
        <v>33</v>
      </c>
      <c r="J521" t="s">
        <v>33</v>
      </c>
      <c r="L521">
        <f t="shared" si="16"/>
        <v>2019</v>
      </c>
      <c r="M521" t="str">
        <f t="shared" si="17"/>
        <v>Pre-COVID</v>
      </c>
    </row>
    <row r="522" spans="1:13" x14ac:dyDescent="0.25">
      <c r="A522" s="2">
        <v>43752</v>
      </c>
      <c r="B522" t="s">
        <v>32</v>
      </c>
      <c r="C522">
        <v>22</v>
      </c>
      <c r="D522" s="3">
        <v>6.94</v>
      </c>
      <c r="E522" s="3">
        <v>152.68</v>
      </c>
      <c r="F522">
        <v>30</v>
      </c>
      <c r="G522">
        <v>12</v>
      </c>
      <c r="H522" s="4">
        <v>1.7</v>
      </c>
      <c r="I522" t="s">
        <v>33</v>
      </c>
      <c r="J522" t="s">
        <v>33</v>
      </c>
      <c r="L522">
        <f t="shared" si="16"/>
        <v>2019</v>
      </c>
      <c r="M522" t="str">
        <f t="shared" si="17"/>
        <v>Pre-COVID</v>
      </c>
    </row>
    <row r="523" spans="1:13" x14ac:dyDescent="0.25">
      <c r="A523" s="2">
        <v>43752</v>
      </c>
      <c r="B523" t="s">
        <v>34</v>
      </c>
      <c r="C523">
        <v>17</v>
      </c>
      <c r="D523" s="3">
        <v>6.87</v>
      </c>
      <c r="E523" s="3">
        <v>116.79</v>
      </c>
      <c r="F523">
        <v>21</v>
      </c>
      <c r="G523">
        <v>8</v>
      </c>
      <c r="H523" s="4">
        <v>0.4</v>
      </c>
      <c r="I523" t="s">
        <v>33</v>
      </c>
      <c r="J523" t="s">
        <v>33</v>
      </c>
      <c r="L523">
        <f t="shared" si="16"/>
        <v>2019</v>
      </c>
      <c r="M523" t="str">
        <f t="shared" si="17"/>
        <v>Pre-COVID</v>
      </c>
    </row>
    <row r="524" spans="1:13" x14ac:dyDescent="0.25">
      <c r="A524" s="2">
        <v>43752</v>
      </c>
      <c r="B524" t="s">
        <v>35</v>
      </c>
      <c r="C524">
        <v>10</v>
      </c>
      <c r="D524" s="3">
        <v>6.02</v>
      </c>
      <c r="E524" s="3">
        <v>60.2</v>
      </c>
      <c r="F524">
        <v>15</v>
      </c>
      <c r="G524">
        <v>5</v>
      </c>
      <c r="H524" s="4">
        <v>0.4</v>
      </c>
      <c r="I524" t="s">
        <v>33</v>
      </c>
      <c r="J524" t="s">
        <v>33</v>
      </c>
      <c r="L524">
        <f t="shared" si="16"/>
        <v>2019</v>
      </c>
      <c r="M524" t="str">
        <f t="shared" si="17"/>
        <v>Pre-COVID</v>
      </c>
    </row>
    <row r="525" spans="1:13" x14ac:dyDescent="0.25">
      <c r="A525" s="2">
        <v>43752</v>
      </c>
      <c r="B525" t="s">
        <v>36</v>
      </c>
      <c r="C525">
        <v>9</v>
      </c>
      <c r="D525" s="3">
        <v>6.26</v>
      </c>
      <c r="E525" s="3">
        <v>56.34</v>
      </c>
      <c r="F525">
        <v>11</v>
      </c>
      <c r="G525">
        <v>3</v>
      </c>
      <c r="H525" s="4">
        <v>1</v>
      </c>
      <c r="I525" t="s">
        <v>33</v>
      </c>
      <c r="J525" t="s">
        <v>33</v>
      </c>
      <c r="L525">
        <f t="shared" si="16"/>
        <v>2019</v>
      </c>
      <c r="M525" t="str">
        <f t="shared" si="17"/>
        <v>Pre-COVID</v>
      </c>
    </row>
    <row r="526" spans="1:13" x14ac:dyDescent="0.25">
      <c r="A526" s="2">
        <v>43752</v>
      </c>
      <c r="B526" t="s">
        <v>37</v>
      </c>
      <c r="C526">
        <v>22</v>
      </c>
      <c r="D526" s="3">
        <v>3.13</v>
      </c>
      <c r="E526" s="3">
        <v>68.86</v>
      </c>
      <c r="F526">
        <v>30</v>
      </c>
      <c r="G526">
        <v>13</v>
      </c>
      <c r="H526" s="4">
        <v>0.7</v>
      </c>
      <c r="I526" t="s">
        <v>33</v>
      </c>
      <c r="J526" t="s">
        <v>33</v>
      </c>
      <c r="L526">
        <f t="shared" si="16"/>
        <v>2019</v>
      </c>
      <c r="M526" t="str">
        <f t="shared" si="17"/>
        <v>Pre-COVID</v>
      </c>
    </row>
    <row r="527" spans="1:13" x14ac:dyDescent="0.25">
      <c r="A527" s="2">
        <v>43752</v>
      </c>
      <c r="B527" t="s">
        <v>38</v>
      </c>
      <c r="C527">
        <v>11</v>
      </c>
      <c r="D527" s="3">
        <v>8.85</v>
      </c>
      <c r="E527" s="3">
        <v>97.35</v>
      </c>
      <c r="F527">
        <v>17</v>
      </c>
      <c r="G527">
        <v>8</v>
      </c>
      <c r="H527" s="4">
        <v>1.1000000000000001</v>
      </c>
      <c r="I527" t="s">
        <v>33</v>
      </c>
      <c r="J527" t="s">
        <v>33</v>
      </c>
      <c r="L527">
        <f t="shared" si="16"/>
        <v>2019</v>
      </c>
      <c r="M527" t="str">
        <f t="shared" si="17"/>
        <v>Pre-COVID</v>
      </c>
    </row>
    <row r="528" spans="1:13" x14ac:dyDescent="0.25">
      <c r="A528" s="2">
        <v>43752</v>
      </c>
      <c r="B528" t="s">
        <v>39</v>
      </c>
      <c r="C528">
        <v>22</v>
      </c>
      <c r="D528" s="3">
        <v>11.25</v>
      </c>
      <c r="E528" s="3">
        <v>247.5</v>
      </c>
      <c r="F528">
        <v>27</v>
      </c>
      <c r="G528">
        <v>8</v>
      </c>
      <c r="H528" s="4">
        <v>1.4</v>
      </c>
      <c r="I528" t="s">
        <v>33</v>
      </c>
      <c r="J528" t="s">
        <v>33</v>
      </c>
      <c r="L528">
        <f t="shared" si="16"/>
        <v>2019</v>
      </c>
      <c r="M528" t="str">
        <f t="shared" si="17"/>
        <v>Pre-COVID</v>
      </c>
    </row>
    <row r="529" spans="1:13" x14ac:dyDescent="0.25">
      <c r="A529" s="2">
        <v>43752</v>
      </c>
      <c r="B529" t="s">
        <v>40</v>
      </c>
      <c r="C529">
        <v>11</v>
      </c>
      <c r="D529" s="3">
        <v>0.68</v>
      </c>
      <c r="E529" s="3">
        <v>7.48</v>
      </c>
      <c r="F529">
        <v>17</v>
      </c>
      <c r="G529">
        <v>6</v>
      </c>
      <c r="H529" s="4">
        <v>0</v>
      </c>
      <c r="I529" t="s">
        <v>33</v>
      </c>
      <c r="J529" t="s">
        <v>33</v>
      </c>
      <c r="L529">
        <f t="shared" si="16"/>
        <v>2019</v>
      </c>
      <c r="M529" t="str">
        <f t="shared" si="17"/>
        <v>Pre-COVID</v>
      </c>
    </row>
    <row r="530" spans="1:13" x14ac:dyDescent="0.25">
      <c r="A530" s="2">
        <v>43752</v>
      </c>
      <c r="B530" t="s">
        <v>41</v>
      </c>
      <c r="C530">
        <v>4</v>
      </c>
      <c r="D530" s="3">
        <v>1.36</v>
      </c>
      <c r="E530" s="3">
        <v>5.44</v>
      </c>
      <c r="F530">
        <v>6</v>
      </c>
      <c r="G530">
        <v>3</v>
      </c>
      <c r="H530" s="4">
        <v>1</v>
      </c>
      <c r="I530" t="s">
        <v>33</v>
      </c>
      <c r="J530" t="s">
        <v>33</v>
      </c>
      <c r="L530">
        <f t="shared" si="16"/>
        <v>2019</v>
      </c>
      <c r="M530" t="str">
        <f t="shared" si="17"/>
        <v>Pre-COVID</v>
      </c>
    </row>
    <row r="531" spans="1:13" x14ac:dyDescent="0.25">
      <c r="A531" s="2">
        <v>43752</v>
      </c>
      <c r="B531" t="s">
        <v>42</v>
      </c>
      <c r="C531">
        <v>7</v>
      </c>
      <c r="D531" s="3">
        <v>4.34</v>
      </c>
      <c r="E531" s="3">
        <v>30.38</v>
      </c>
      <c r="F531">
        <v>11</v>
      </c>
      <c r="G531">
        <v>5</v>
      </c>
      <c r="H531" s="4">
        <v>1</v>
      </c>
      <c r="I531" t="s">
        <v>33</v>
      </c>
      <c r="J531" t="s">
        <v>33</v>
      </c>
      <c r="L531">
        <f t="shared" si="16"/>
        <v>2019</v>
      </c>
      <c r="M531" t="str">
        <f t="shared" si="17"/>
        <v>Pre-COVID</v>
      </c>
    </row>
    <row r="532" spans="1:13" x14ac:dyDescent="0.25">
      <c r="A532" s="2">
        <v>43752</v>
      </c>
      <c r="B532" t="s">
        <v>43</v>
      </c>
      <c r="C532">
        <v>6</v>
      </c>
      <c r="D532" s="3">
        <v>5.39</v>
      </c>
      <c r="E532" s="3">
        <v>32.340000000000003</v>
      </c>
      <c r="F532">
        <v>7</v>
      </c>
      <c r="G532">
        <v>2</v>
      </c>
      <c r="H532" s="4">
        <v>0.7</v>
      </c>
      <c r="I532" t="s">
        <v>33</v>
      </c>
      <c r="J532" t="s">
        <v>33</v>
      </c>
      <c r="L532">
        <f t="shared" si="16"/>
        <v>2019</v>
      </c>
      <c r="M532" t="str">
        <f t="shared" si="17"/>
        <v>Pre-COVID</v>
      </c>
    </row>
    <row r="533" spans="1:13" x14ac:dyDescent="0.25">
      <c r="A533" s="2">
        <v>43752</v>
      </c>
      <c r="B533" t="s">
        <v>44</v>
      </c>
      <c r="C533">
        <v>0</v>
      </c>
      <c r="D533" s="3">
        <v>4.68</v>
      </c>
      <c r="E533" s="3">
        <v>0</v>
      </c>
      <c r="F533">
        <v>3</v>
      </c>
      <c r="G533">
        <v>3</v>
      </c>
      <c r="H533" s="4">
        <v>0.7</v>
      </c>
      <c r="I533" t="s">
        <v>33</v>
      </c>
      <c r="J533" t="s">
        <v>33</v>
      </c>
      <c r="L533">
        <f t="shared" si="16"/>
        <v>2019</v>
      </c>
      <c r="M533" t="str">
        <f t="shared" si="17"/>
        <v>Pre-COVID</v>
      </c>
    </row>
    <row r="534" spans="1:13" x14ac:dyDescent="0.25">
      <c r="A534" s="2">
        <v>43752</v>
      </c>
      <c r="B534" t="s">
        <v>45</v>
      </c>
      <c r="C534">
        <v>0</v>
      </c>
      <c r="D534" s="3">
        <v>15.28</v>
      </c>
      <c r="E534" s="3">
        <v>0</v>
      </c>
      <c r="F534">
        <v>3</v>
      </c>
      <c r="G534">
        <v>3</v>
      </c>
      <c r="H534" s="4">
        <v>1.1000000000000001</v>
      </c>
      <c r="I534" t="s">
        <v>33</v>
      </c>
      <c r="J534" t="s">
        <v>33</v>
      </c>
      <c r="L534">
        <f t="shared" si="16"/>
        <v>2019</v>
      </c>
      <c r="M534" t="str">
        <f t="shared" si="17"/>
        <v>Pre-COVID</v>
      </c>
    </row>
    <row r="535" spans="1:13" x14ac:dyDescent="0.25">
      <c r="A535" s="2">
        <v>43759</v>
      </c>
      <c r="B535" t="s">
        <v>32</v>
      </c>
      <c r="C535">
        <v>12</v>
      </c>
      <c r="D535" s="3">
        <v>7.13</v>
      </c>
      <c r="E535" s="3">
        <v>85.56</v>
      </c>
      <c r="F535">
        <v>18</v>
      </c>
      <c r="G535">
        <v>8</v>
      </c>
      <c r="H535" s="4">
        <v>0.7</v>
      </c>
      <c r="I535" t="s">
        <v>33</v>
      </c>
      <c r="J535" t="s">
        <v>33</v>
      </c>
      <c r="L535">
        <f t="shared" si="16"/>
        <v>2019</v>
      </c>
      <c r="M535" t="str">
        <f t="shared" si="17"/>
        <v>Pre-COVID</v>
      </c>
    </row>
    <row r="536" spans="1:13" x14ac:dyDescent="0.25">
      <c r="A536" s="2">
        <v>43759</v>
      </c>
      <c r="B536" t="s">
        <v>34</v>
      </c>
      <c r="C536">
        <v>16</v>
      </c>
      <c r="D536" s="3">
        <v>6.97</v>
      </c>
      <c r="E536" s="3">
        <v>111.52</v>
      </c>
      <c r="F536">
        <v>19</v>
      </c>
      <c r="G536">
        <v>3</v>
      </c>
      <c r="H536" s="4">
        <v>0.2</v>
      </c>
      <c r="I536" t="s">
        <v>33</v>
      </c>
      <c r="J536" t="s">
        <v>33</v>
      </c>
      <c r="L536">
        <f t="shared" si="16"/>
        <v>2019</v>
      </c>
      <c r="M536" t="str">
        <f t="shared" si="17"/>
        <v>Pre-COVID</v>
      </c>
    </row>
    <row r="537" spans="1:13" x14ac:dyDescent="0.25">
      <c r="A537" s="2">
        <v>43759</v>
      </c>
      <c r="B537" t="s">
        <v>35</v>
      </c>
      <c r="C537">
        <v>10</v>
      </c>
      <c r="D537" s="3">
        <v>6.18</v>
      </c>
      <c r="E537" s="3">
        <v>61.8</v>
      </c>
      <c r="F537">
        <v>15</v>
      </c>
      <c r="G537">
        <v>6</v>
      </c>
      <c r="H537" s="4">
        <v>1.2</v>
      </c>
      <c r="I537" t="s">
        <v>33</v>
      </c>
      <c r="J537" t="s">
        <v>33</v>
      </c>
      <c r="L537">
        <f t="shared" si="16"/>
        <v>2019</v>
      </c>
      <c r="M537" t="str">
        <f t="shared" si="17"/>
        <v>Pre-COVID</v>
      </c>
    </row>
    <row r="538" spans="1:13" x14ac:dyDescent="0.25">
      <c r="A538" s="2">
        <v>43759</v>
      </c>
      <c r="B538" t="s">
        <v>36</v>
      </c>
      <c r="C538">
        <v>11</v>
      </c>
      <c r="D538" s="3">
        <v>6.39</v>
      </c>
      <c r="E538" s="3">
        <v>70.290000000000006</v>
      </c>
      <c r="F538">
        <v>12</v>
      </c>
      <c r="G538">
        <v>3</v>
      </c>
      <c r="H538" s="4">
        <v>1.3</v>
      </c>
      <c r="I538" t="s">
        <v>33</v>
      </c>
      <c r="J538" t="s">
        <v>33</v>
      </c>
      <c r="L538">
        <f t="shared" si="16"/>
        <v>2019</v>
      </c>
      <c r="M538" t="str">
        <f t="shared" si="17"/>
        <v>Pre-COVID</v>
      </c>
    </row>
    <row r="539" spans="1:13" x14ac:dyDescent="0.25">
      <c r="A539" s="2">
        <v>43759</v>
      </c>
      <c r="B539" t="s">
        <v>37</v>
      </c>
      <c r="C539">
        <v>15</v>
      </c>
      <c r="D539" s="3">
        <v>3.28</v>
      </c>
      <c r="E539" s="3">
        <v>49.2</v>
      </c>
      <c r="F539">
        <v>17</v>
      </c>
      <c r="G539">
        <v>3</v>
      </c>
      <c r="H539" s="4">
        <v>1.1000000000000001</v>
      </c>
      <c r="I539" t="s">
        <v>33</v>
      </c>
      <c r="J539" t="s">
        <v>33</v>
      </c>
      <c r="L539">
        <f t="shared" si="16"/>
        <v>2019</v>
      </c>
      <c r="M539" t="str">
        <f t="shared" si="17"/>
        <v>Pre-COVID</v>
      </c>
    </row>
    <row r="540" spans="1:13" x14ac:dyDescent="0.25">
      <c r="A540" s="2">
        <v>43759</v>
      </c>
      <c r="B540" t="s">
        <v>38</v>
      </c>
      <c r="C540">
        <v>13</v>
      </c>
      <c r="D540" s="3">
        <v>8.7100000000000009</v>
      </c>
      <c r="E540" s="3">
        <v>113.23</v>
      </c>
      <c r="F540">
        <v>20</v>
      </c>
      <c r="G540">
        <v>9</v>
      </c>
      <c r="H540" s="4">
        <v>0.6</v>
      </c>
      <c r="I540" t="s">
        <v>33</v>
      </c>
      <c r="J540" t="s">
        <v>33</v>
      </c>
      <c r="L540">
        <f t="shared" si="16"/>
        <v>2019</v>
      </c>
      <c r="M540" t="str">
        <f t="shared" si="17"/>
        <v>Pre-COVID</v>
      </c>
    </row>
    <row r="541" spans="1:13" x14ac:dyDescent="0.25">
      <c r="A541" s="2">
        <v>43759</v>
      </c>
      <c r="B541" t="s">
        <v>39</v>
      </c>
      <c r="C541">
        <v>21</v>
      </c>
      <c r="D541" s="3">
        <v>11.25</v>
      </c>
      <c r="E541" s="3">
        <v>236.25</v>
      </c>
      <c r="F541">
        <v>26</v>
      </c>
      <c r="G541">
        <v>7</v>
      </c>
      <c r="H541" s="4">
        <v>0.7</v>
      </c>
      <c r="I541" t="s">
        <v>33</v>
      </c>
      <c r="J541" t="s">
        <v>33</v>
      </c>
      <c r="L541">
        <f t="shared" si="16"/>
        <v>2019</v>
      </c>
      <c r="M541" t="str">
        <f t="shared" si="17"/>
        <v>Pre-COVID</v>
      </c>
    </row>
    <row r="542" spans="1:13" x14ac:dyDescent="0.25">
      <c r="A542" s="2">
        <v>43759</v>
      </c>
      <c r="B542" t="s">
        <v>40</v>
      </c>
      <c r="C542">
        <v>10</v>
      </c>
      <c r="D542" s="3">
        <v>0.64</v>
      </c>
      <c r="E542" s="3">
        <v>6.4</v>
      </c>
      <c r="F542">
        <v>11</v>
      </c>
      <c r="G542">
        <v>2</v>
      </c>
      <c r="H542" s="4">
        <v>0.6</v>
      </c>
      <c r="I542" t="s">
        <v>33</v>
      </c>
      <c r="J542" t="s">
        <v>46</v>
      </c>
      <c r="L542">
        <f t="shared" si="16"/>
        <v>2019</v>
      </c>
      <c r="M542" t="str">
        <f t="shared" si="17"/>
        <v>Pre-COVID</v>
      </c>
    </row>
    <row r="543" spans="1:13" x14ac:dyDescent="0.25">
      <c r="A543" s="2">
        <v>43759</v>
      </c>
      <c r="B543" t="s">
        <v>41</v>
      </c>
      <c r="C543">
        <v>8</v>
      </c>
      <c r="D543" s="3">
        <v>1.38</v>
      </c>
      <c r="E543" s="3">
        <v>11.04</v>
      </c>
      <c r="F543">
        <v>13</v>
      </c>
      <c r="G543">
        <v>7</v>
      </c>
      <c r="H543" s="4">
        <v>0</v>
      </c>
      <c r="I543" t="s">
        <v>33</v>
      </c>
      <c r="J543" t="s">
        <v>33</v>
      </c>
      <c r="L543">
        <f t="shared" si="16"/>
        <v>2019</v>
      </c>
      <c r="M543" t="str">
        <f t="shared" si="17"/>
        <v>Pre-COVID</v>
      </c>
    </row>
    <row r="544" spans="1:13" x14ac:dyDescent="0.25">
      <c r="A544" s="2">
        <v>43759</v>
      </c>
      <c r="B544" t="s">
        <v>42</v>
      </c>
      <c r="C544">
        <v>9</v>
      </c>
      <c r="D544" s="3">
        <v>4.33</v>
      </c>
      <c r="E544" s="3">
        <v>38.97</v>
      </c>
      <c r="F544">
        <v>13</v>
      </c>
      <c r="G544">
        <v>4</v>
      </c>
      <c r="H544" s="4">
        <v>1.4</v>
      </c>
      <c r="I544" t="s">
        <v>33</v>
      </c>
      <c r="J544" t="s">
        <v>33</v>
      </c>
      <c r="L544">
        <f t="shared" si="16"/>
        <v>2019</v>
      </c>
      <c r="M544" t="str">
        <f t="shared" si="17"/>
        <v>Pre-COVID</v>
      </c>
    </row>
    <row r="545" spans="1:13" x14ac:dyDescent="0.25">
      <c r="A545" s="2">
        <v>43759</v>
      </c>
      <c r="B545" t="s">
        <v>43</v>
      </c>
      <c r="C545">
        <v>5</v>
      </c>
      <c r="D545" s="3">
        <v>5.68</v>
      </c>
      <c r="E545" s="3">
        <v>28.4</v>
      </c>
      <c r="F545">
        <v>7</v>
      </c>
      <c r="G545">
        <v>3</v>
      </c>
      <c r="H545" s="4">
        <v>0.6</v>
      </c>
      <c r="I545" t="s">
        <v>33</v>
      </c>
      <c r="J545" t="s">
        <v>33</v>
      </c>
      <c r="L545">
        <f t="shared" si="16"/>
        <v>2019</v>
      </c>
      <c r="M545" t="str">
        <f t="shared" si="17"/>
        <v>Pre-COVID</v>
      </c>
    </row>
    <row r="546" spans="1:13" x14ac:dyDescent="0.25">
      <c r="A546" s="2">
        <v>43759</v>
      </c>
      <c r="B546" t="s">
        <v>44</v>
      </c>
      <c r="C546">
        <v>0</v>
      </c>
      <c r="D546" s="3">
        <v>4.83</v>
      </c>
      <c r="E546" s="3">
        <v>0</v>
      </c>
      <c r="F546">
        <v>3</v>
      </c>
      <c r="G546">
        <v>3</v>
      </c>
      <c r="H546" s="4">
        <v>0.7</v>
      </c>
      <c r="I546" t="s">
        <v>33</v>
      </c>
      <c r="J546" t="s">
        <v>33</v>
      </c>
      <c r="L546">
        <f t="shared" si="16"/>
        <v>2019</v>
      </c>
      <c r="M546" t="str">
        <f t="shared" si="17"/>
        <v>Pre-COVID</v>
      </c>
    </row>
    <row r="547" spans="1:13" x14ac:dyDescent="0.25">
      <c r="A547" s="2">
        <v>43759</v>
      </c>
      <c r="B547" t="s">
        <v>45</v>
      </c>
      <c r="C547">
        <v>1</v>
      </c>
      <c r="D547" s="3">
        <v>15.58</v>
      </c>
      <c r="E547" s="3">
        <v>15.58</v>
      </c>
      <c r="F547">
        <v>3</v>
      </c>
      <c r="G547">
        <v>2</v>
      </c>
      <c r="H547" s="4">
        <v>0.4</v>
      </c>
      <c r="I547" t="s">
        <v>46</v>
      </c>
      <c r="J547" t="s">
        <v>33</v>
      </c>
      <c r="L547">
        <f t="shared" si="16"/>
        <v>2019</v>
      </c>
      <c r="M547" t="str">
        <f t="shared" si="17"/>
        <v>Pre-COVID</v>
      </c>
    </row>
    <row r="548" spans="1:13" x14ac:dyDescent="0.25">
      <c r="A548" s="2">
        <v>43766</v>
      </c>
      <c r="B548" t="s">
        <v>32</v>
      </c>
      <c r="C548">
        <v>25</v>
      </c>
      <c r="D548" s="3">
        <v>6.84</v>
      </c>
      <c r="E548" s="3">
        <v>171</v>
      </c>
      <c r="F548">
        <v>37</v>
      </c>
      <c r="G548">
        <v>13</v>
      </c>
      <c r="H548" s="4">
        <v>1</v>
      </c>
      <c r="I548" t="s">
        <v>33</v>
      </c>
      <c r="J548" t="s">
        <v>33</v>
      </c>
      <c r="L548">
        <f t="shared" si="16"/>
        <v>2019</v>
      </c>
      <c r="M548" t="str">
        <f t="shared" si="17"/>
        <v>Pre-COVID</v>
      </c>
    </row>
    <row r="549" spans="1:13" x14ac:dyDescent="0.25">
      <c r="A549" s="2">
        <v>43766</v>
      </c>
      <c r="B549" t="s">
        <v>34</v>
      </c>
      <c r="C549">
        <v>13</v>
      </c>
      <c r="D549" s="3">
        <v>6.94</v>
      </c>
      <c r="E549" s="3">
        <v>90.22</v>
      </c>
      <c r="F549">
        <v>17</v>
      </c>
      <c r="G549">
        <v>5</v>
      </c>
      <c r="H549" s="4">
        <v>1</v>
      </c>
      <c r="I549" t="s">
        <v>33</v>
      </c>
      <c r="J549" t="s">
        <v>33</v>
      </c>
      <c r="L549">
        <f t="shared" si="16"/>
        <v>2019</v>
      </c>
      <c r="M549" t="str">
        <f t="shared" si="17"/>
        <v>Pre-COVID</v>
      </c>
    </row>
    <row r="550" spans="1:13" x14ac:dyDescent="0.25">
      <c r="A550" s="2">
        <v>43766</v>
      </c>
      <c r="B550" t="s">
        <v>35</v>
      </c>
      <c r="C550">
        <v>12</v>
      </c>
      <c r="D550" s="3">
        <v>6.07</v>
      </c>
      <c r="E550" s="3">
        <v>72.84</v>
      </c>
      <c r="F550">
        <v>17</v>
      </c>
      <c r="G550">
        <v>7</v>
      </c>
      <c r="H550" s="4">
        <v>1.8</v>
      </c>
      <c r="I550" t="s">
        <v>33</v>
      </c>
      <c r="J550" t="s">
        <v>33</v>
      </c>
      <c r="L550">
        <f t="shared" si="16"/>
        <v>2019</v>
      </c>
      <c r="M550" t="str">
        <f t="shared" si="17"/>
        <v>Pre-COVID</v>
      </c>
    </row>
    <row r="551" spans="1:13" x14ac:dyDescent="0.25">
      <c r="A551" s="2">
        <v>43766</v>
      </c>
      <c r="B551" t="s">
        <v>36</v>
      </c>
      <c r="C551">
        <v>11</v>
      </c>
      <c r="D551" s="3">
        <v>6.3</v>
      </c>
      <c r="E551" s="3">
        <v>69.3</v>
      </c>
      <c r="F551">
        <v>15</v>
      </c>
      <c r="G551">
        <v>6</v>
      </c>
      <c r="H551" s="4">
        <v>0</v>
      </c>
      <c r="I551" t="s">
        <v>33</v>
      </c>
      <c r="J551" t="s">
        <v>33</v>
      </c>
      <c r="L551">
        <f t="shared" si="16"/>
        <v>2019</v>
      </c>
      <c r="M551" t="str">
        <f t="shared" si="17"/>
        <v>Pre-COVID</v>
      </c>
    </row>
    <row r="552" spans="1:13" x14ac:dyDescent="0.25">
      <c r="A552" s="2">
        <v>43766</v>
      </c>
      <c r="B552" t="s">
        <v>37</v>
      </c>
      <c r="C552">
        <v>24</v>
      </c>
      <c r="D552" s="3">
        <v>3.3</v>
      </c>
      <c r="E552" s="3">
        <v>79.2</v>
      </c>
      <c r="F552">
        <v>28</v>
      </c>
      <c r="G552">
        <v>7</v>
      </c>
      <c r="H552" s="4">
        <v>0.1</v>
      </c>
      <c r="I552" t="s">
        <v>33</v>
      </c>
      <c r="J552" t="s">
        <v>33</v>
      </c>
      <c r="L552">
        <f t="shared" si="16"/>
        <v>2019</v>
      </c>
      <c r="M552" t="str">
        <f t="shared" si="17"/>
        <v>Pre-COVID</v>
      </c>
    </row>
    <row r="553" spans="1:13" x14ac:dyDescent="0.25">
      <c r="A553" s="2">
        <v>43766</v>
      </c>
      <c r="B553" t="s">
        <v>38</v>
      </c>
      <c r="C553">
        <v>9</v>
      </c>
      <c r="D553" s="3">
        <v>8.2200000000000006</v>
      </c>
      <c r="E553" s="3">
        <v>73.98</v>
      </c>
      <c r="F553">
        <v>15</v>
      </c>
      <c r="G553">
        <v>8</v>
      </c>
      <c r="H553" s="4">
        <v>1.2</v>
      </c>
      <c r="I553" t="s">
        <v>33</v>
      </c>
      <c r="J553" t="s">
        <v>33</v>
      </c>
      <c r="L553">
        <f t="shared" si="16"/>
        <v>2019</v>
      </c>
      <c r="M553" t="str">
        <f t="shared" si="17"/>
        <v>Pre-COVID</v>
      </c>
    </row>
    <row r="554" spans="1:13" x14ac:dyDescent="0.25">
      <c r="A554" s="2">
        <v>43766</v>
      </c>
      <c r="B554" t="s">
        <v>39</v>
      </c>
      <c r="C554">
        <v>18</v>
      </c>
      <c r="D554" s="3">
        <v>11.79</v>
      </c>
      <c r="E554" s="3">
        <v>212.22</v>
      </c>
      <c r="F554">
        <v>29</v>
      </c>
      <c r="G554">
        <v>14</v>
      </c>
      <c r="H554" s="4">
        <v>0.5</v>
      </c>
      <c r="I554" t="s">
        <v>33</v>
      </c>
      <c r="J554" t="s">
        <v>33</v>
      </c>
      <c r="L554">
        <f t="shared" si="16"/>
        <v>2019</v>
      </c>
      <c r="M554" t="str">
        <f t="shared" si="17"/>
        <v>Pre-COVID</v>
      </c>
    </row>
    <row r="555" spans="1:13" x14ac:dyDescent="0.25">
      <c r="A555" s="2">
        <v>43766</v>
      </c>
      <c r="B555" t="s">
        <v>40</v>
      </c>
      <c r="C555">
        <v>10</v>
      </c>
      <c r="D555" s="3">
        <v>0.66</v>
      </c>
      <c r="E555" s="3">
        <v>6.6</v>
      </c>
      <c r="F555">
        <v>12</v>
      </c>
      <c r="G555">
        <v>3</v>
      </c>
      <c r="H555" s="4">
        <v>1.8</v>
      </c>
      <c r="I555" t="s">
        <v>33</v>
      </c>
      <c r="J555" t="s">
        <v>33</v>
      </c>
      <c r="L555">
        <f t="shared" si="16"/>
        <v>2019</v>
      </c>
      <c r="M555" t="str">
        <f t="shared" si="17"/>
        <v>Pre-COVID</v>
      </c>
    </row>
    <row r="556" spans="1:13" x14ac:dyDescent="0.25">
      <c r="A556" s="2">
        <v>43766</v>
      </c>
      <c r="B556" t="s">
        <v>41</v>
      </c>
      <c r="C556">
        <v>5</v>
      </c>
      <c r="D556" s="3">
        <v>1.38</v>
      </c>
      <c r="E556" s="3">
        <v>6.9</v>
      </c>
      <c r="F556">
        <v>5</v>
      </c>
      <c r="G556">
        <v>0</v>
      </c>
      <c r="H556" s="4">
        <v>1</v>
      </c>
      <c r="I556" t="s">
        <v>33</v>
      </c>
      <c r="J556" t="s">
        <v>33</v>
      </c>
      <c r="L556">
        <f t="shared" si="16"/>
        <v>2019</v>
      </c>
      <c r="M556" t="str">
        <f t="shared" si="17"/>
        <v>Pre-COVID</v>
      </c>
    </row>
    <row r="557" spans="1:13" x14ac:dyDescent="0.25">
      <c r="A557" s="2">
        <v>43766</v>
      </c>
      <c r="B557" t="s">
        <v>42</v>
      </c>
      <c r="C557">
        <v>6</v>
      </c>
      <c r="D557" s="3">
        <v>4.3099999999999996</v>
      </c>
      <c r="E557" s="3">
        <v>25.86</v>
      </c>
      <c r="F557">
        <v>9</v>
      </c>
      <c r="G557">
        <v>3</v>
      </c>
      <c r="H557" s="4">
        <v>0.2</v>
      </c>
      <c r="I557" t="s">
        <v>33</v>
      </c>
      <c r="J557" t="s">
        <v>33</v>
      </c>
      <c r="L557">
        <f t="shared" si="16"/>
        <v>2019</v>
      </c>
      <c r="M557" t="str">
        <f t="shared" si="17"/>
        <v>Pre-COVID</v>
      </c>
    </row>
    <row r="558" spans="1:13" x14ac:dyDescent="0.25">
      <c r="A558" s="2">
        <v>43766</v>
      </c>
      <c r="B558" t="s">
        <v>43</v>
      </c>
      <c r="C558">
        <v>6</v>
      </c>
      <c r="D558" s="3">
        <v>5.31</v>
      </c>
      <c r="E558" s="3">
        <v>31.86</v>
      </c>
      <c r="F558">
        <v>9</v>
      </c>
      <c r="G558">
        <v>4</v>
      </c>
      <c r="H558" s="4">
        <v>0.6</v>
      </c>
      <c r="I558" t="s">
        <v>33</v>
      </c>
      <c r="J558" t="s">
        <v>33</v>
      </c>
      <c r="L558">
        <f t="shared" si="16"/>
        <v>2019</v>
      </c>
      <c r="M558" t="str">
        <f t="shared" si="17"/>
        <v>Pre-COVID</v>
      </c>
    </row>
    <row r="559" spans="1:13" x14ac:dyDescent="0.25">
      <c r="A559" s="2">
        <v>43766</v>
      </c>
      <c r="B559" t="s">
        <v>44</v>
      </c>
      <c r="C559">
        <v>0</v>
      </c>
      <c r="D559" s="3">
        <v>4.93</v>
      </c>
      <c r="E559" s="3">
        <v>0</v>
      </c>
      <c r="F559">
        <v>3</v>
      </c>
      <c r="G559">
        <v>3</v>
      </c>
      <c r="H559" s="4">
        <v>1.6</v>
      </c>
      <c r="I559" t="s">
        <v>33</v>
      </c>
      <c r="J559" t="s">
        <v>33</v>
      </c>
      <c r="L559">
        <f t="shared" si="16"/>
        <v>2019</v>
      </c>
      <c r="M559" t="str">
        <f t="shared" si="17"/>
        <v>Pre-COVID</v>
      </c>
    </row>
    <row r="560" spans="1:13" x14ac:dyDescent="0.25">
      <c r="A560" s="2">
        <v>43766</v>
      </c>
      <c r="B560" t="s">
        <v>45</v>
      </c>
      <c r="C560">
        <v>0</v>
      </c>
      <c r="D560" s="3">
        <v>14.62</v>
      </c>
      <c r="E560" s="3">
        <v>0</v>
      </c>
      <c r="F560">
        <v>3</v>
      </c>
      <c r="G560">
        <v>3</v>
      </c>
      <c r="H560" s="4">
        <v>0.7</v>
      </c>
      <c r="I560" t="s">
        <v>33</v>
      </c>
      <c r="J560" t="s">
        <v>33</v>
      </c>
      <c r="L560">
        <f t="shared" si="16"/>
        <v>2019</v>
      </c>
      <c r="M560" t="str">
        <f t="shared" si="17"/>
        <v>Pre-COVID</v>
      </c>
    </row>
    <row r="561" spans="1:13" x14ac:dyDescent="0.25">
      <c r="A561" s="2">
        <v>43773</v>
      </c>
      <c r="B561" t="s">
        <v>32</v>
      </c>
      <c r="C561">
        <v>25</v>
      </c>
      <c r="D561" s="3">
        <v>6.78</v>
      </c>
      <c r="E561" s="3">
        <v>169.5</v>
      </c>
      <c r="F561">
        <v>31</v>
      </c>
      <c r="G561">
        <v>9</v>
      </c>
      <c r="H561" s="4">
        <v>0.5</v>
      </c>
      <c r="I561" t="s">
        <v>33</v>
      </c>
      <c r="J561" t="s">
        <v>33</v>
      </c>
      <c r="L561">
        <f t="shared" si="16"/>
        <v>2019</v>
      </c>
      <c r="M561" t="str">
        <f t="shared" si="17"/>
        <v>Pre-COVID</v>
      </c>
    </row>
    <row r="562" spans="1:13" x14ac:dyDescent="0.25">
      <c r="A562" s="2">
        <v>43773</v>
      </c>
      <c r="B562" t="s">
        <v>34</v>
      </c>
      <c r="C562">
        <v>14</v>
      </c>
      <c r="D562" s="3">
        <v>6.83</v>
      </c>
      <c r="E562" s="3">
        <v>95.62</v>
      </c>
      <c r="F562">
        <v>15</v>
      </c>
      <c r="G562">
        <v>2</v>
      </c>
      <c r="H562" s="4">
        <v>0.6</v>
      </c>
      <c r="I562" t="s">
        <v>33</v>
      </c>
      <c r="J562" t="s">
        <v>33</v>
      </c>
      <c r="L562">
        <f t="shared" si="16"/>
        <v>2019</v>
      </c>
      <c r="M562" t="str">
        <f t="shared" si="17"/>
        <v>Pre-COVID</v>
      </c>
    </row>
    <row r="563" spans="1:13" x14ac:dyDescent="0.25">
      <c r="A563" s="2">
        <v>43773</v>
      </c>
      <c r="B563" t="s">
        <v>35</v>
      </c>
      <c r="C563">
        <v>15</v>
      </c>
      <c r="D563" s="3">
        <v>5.9</v>
      </c>
      <c r="E563" s="3">
        <v>88.5</v>
      </c>
      <c r="F563">
        <v>17</v>
      </c>
      <c r="G563">
        <v>5</v>
      </c>
      <c r="H563" s="4">
        <v>1.1000000000000001</v>
      </c>
      <c r="I563" t="s">
        <v>33</v>
      </c>
      <c r="J563" t="s">
        <v>33</v>
      </c>
      <c r="L563">
        <f t="shared" si="16"/>
        <v>2019</v>
      </c>
      <c r="M563" t="str">
        <f t="shared" si="17"/>
        <v>Pre-COVID</v>
      </c>
    </row>
    <row r="564" spans="1:13" x14ac:dyDescent="0.25">
      <c r="A564" s="2">
        <v>43773</v>
      </c>
      <c r="B564" t="s">
        <v>36</v>
      </c>
      <c r="C564">
        <v>12</v>
      </c>
      <c r="D564" s="3">
        <v>6.33</v>
      </c>
      <c r="E564" s="3">
        <v>75.959999999999994</v>
      </c>
      <c r="F564">
        <v>16</v>
      </c>
      <c r="G564">
        <v>5</v>
      </c>
      <c r="H564" s="4">
        <v>0.8</v>
      </c>
      <c r="I564" t="s">
        <v>33</v>
      </c>
      <c r="J564" t="s">
        <v>33</v>
      </c>
      <c r="L564">
        <f t="shared" si="16"/>
        <v>2019</v>
      </c>
      <c r="M564" t="str">
        <f t="shared" si="17"/>
        <v>Pre-COVID</v>
      </c>
    </row>
    <row r="565" spans="1:13" x14ac:dyDescent="0.25">
      <c r="A565" s="2">
        <v>43773</v>
      </c>
      <c r="B565" t="s">
        <v>37</v>
      </c>
      <c r="C565">
        <v>36</v>
      </c>
      <c r="D565" s="3">
        <v>3.18</v>
      </c>
      <c r="E565" s="3">
        <v>114.48</v>
      </c>
      <c r="F565">
        <v>50</v>
      </c>
      <c r="G565">
        <v>20</v>
      </c>
      <c r="H565" s="4">
        <v>0.1</v>
      </c>
      <c r="I565" t="s">
        <v>33</v>
      </c>
      <c r="J565" t="s">
        <v>33</v>
      </c>
      <c r="L565">
        <f t="shared" si="16"/>
        <v>2019</v>
      </c>
      <c r="M565" t="str">
        <f t="shared" si="17"/>
        <v>Pre-COVID</v>
      </c>
    </row>
    <row r="566" spans="1:13" x14ac:dyDescent="0.25">
      <c r="A566" s="2">
        <v>43773</v>
      </c>
      <c r="B566" t="s">
        <v>38</v>
      </c>
      <c r="C566">
        <v>13</v>
      </c>
      <c r="D566" s="3">
        <v>8.34</v>
      </c>
      <c r="E566" s="3">
        <v>108.42</v>
      </c>
      <c r="F566">
        <v>18</v>
      </c>
      <c r="G566">
        <v>7</v>
      </c>
      <c r="H566" s="4">
        <v>1.1000000000000001</v>
      </c>
      <c r="I566" t="s">
        <v>33</v>
      </c>
      <c r="J566" t="s">
        <v>33</v>
      </c>
      <c r="L566">
        <f t="shared" si="16"/>
        <v>2019</v>
      </c>
      <c r="M566" t="str">
        <f t="shared" si="17"/>
        <v>Pre-COVID</v>
      </c>
    </row>
    <row r="567" spans="1:13" x14ac:dyDescent="0.25">
      <c r="A567" s="2">
        <v>43773</v>
      </c>
      <c r="B567" t="s">
        <v>39</v>
      </c>
      <c r="C567">
        <v>22</v>
      </c>
      <c r="D567" s="3">
        <v>11.06</v>
      </c>
      <c r="E567" s="3">
        <v>243.32</v>
      </c>
      <c r="F567">
        <v>26</v>
      </c>
      <c r="G567">
        <v>7</v>
      </c>
      <c r="H567" s="4">
        <v>0.3</v>
      </c>
      <c r="I567" t="s">
        <v>33</v>
      </c>
      <c r="J567" t="s">
        <v>33</v>
      </c>
      <c r="L567">
        <f t="shared" si="16"/>
        <v>2019</v>
      </c>
      <c r="M567" t="str">
        <f t="shared" si="17"/>
        <v>Pre-COVID</v>
      </c>
    </row>
    <row r="568" spans="1:13" x14ac:dyDescent="0.25">
      <c r="A568" s="2">
        <v>43773</v>
      </c>
      <c r="B568" t="s">
        <v>40</v>
      </c>
      <c r="C568">
        <v>10</v>
      </c>
      <c r="D568" s="3">
        <v>0.63</v>
      </c>
      <c r="E568" s="3">
        <v>6.3</v>
      </c>
      <c r="F568">
        <v>14</v>
      </c>
      <c r="G568">
        <v>6</v>
      </c>
      <c r="H568" s="4">
        <v>0.1</v>
      </c>
      <c r="I568" t="s">
        <v>33</v>
      </c>
      <c r="J568" t="s">
        <v>33</v>
      </c>
      <c r="L568">
        <f t="shared" si="16"/>
        <v>2019</v>
      </c>
      <c r="M568" t="str">
        <f t="shared" si="17"/>
        <v>Pre-COVID</v>
      </c>
    </row>
    <row r="569" spans="1:13" x14ac:dyDescent="0.25">
      <c r="A569" s="2">
        <v>43773</v>
      </c>
      <c r="B569" t="s">
        <v>41</v>
      </c>
      <c r="C569">
        <v>6</v>
      </c>
      <c r="D569" s="3">
        <v>1.41</v>
      </c>
      <c r="E569" s="3">
        <v>8.4600000000000009</v>
      </c>
      <c r="F569">
        <v>10</v>
      </c>
      <c r="G569">
        <v>4</v>
      </c>
      <c r="H569" s="4">
        <v>1.2</v>
      </c>
      <c r="I569" t="s">
        <v>33</v>
      </c>
      <c r="J569" t="s">
        <v>33</v>
      </c>
      <c r="L569">
        <f t="shared" si="16"/>
        <v>2019</v>
      </c>
      <c r="M569" t="str">
        <f t="shared" si="17"/>
        <v>Pre-COVID</v>
      </c>
    </row>
    <row r="570" spans="1:13" x14ac:dyDescent="0.25">
      <c r="A570" s="2">
        <v>43773</v>
      </c>
      <c r="B570" t="s">
        <v>42</v>
      </c>
      <c r="C570">
        <v>7</v>
      </c>
      <c r="D570" s="3">
        <v>4.22</v>
      </c>
      <c r="E570" s="3">
        <v>29.54</v>
      </c>
      <c r="F570">
        <v>11</v>
      </c>
      <c r="G570">
        <v>5</v>
      </c>
      <c r="H570" s="4">
        <v>1.6</v>
      </c>
      <c r="I570" t="s">
        <v>33</v>
      </c>
      <c r="J570" t="s">
        <v>33</v>
      </c>
      <c r="L570">
        <f t="shared" si="16"/>
        <v>2019</v>
      </c>
      <c r="M570" t="str">
        <f t="shared" si="17"/>
        <v>Pre-COVID</v>
      </c>
    </row>
    <row r="571" spans="1:13" x14ac:dyDescent="0.25">
      <c r="A571" s="2">
        <v>43773</v>
      </c>
      <c r="B571" t="s">
        <v>43</v>
      </c>
      <c r="C571">
        <v>9</v>
      </c>
      <c r="D571" s="3">
        <v>5.41</v>
      </c>
      <c r="E571" s="3">
        <v>48.69</v>
      </c>
      <c r="F571">
        <v>12</v>
      </c>
      <c r="G571">
        <v>5</v>
      </c>
      <c r="H571" s="4">
        <v>0.6</v>
      </c>
      <c r="I571" t="s">
        <v>33</v>
      </c>
      <c r="J571" t="s">
        <v>33</v>
      </c>
      <c r="L571">
        <f t="shared" si="16"/>
        <v>2019</v>
      </c>
      <c r="M571" t="str">
        <f t="shared" si="17"/>
        <v>Pre-COVID</v>
      </c>
    </row>
    <row r="572" spans="1:13" x14ac:dyDescent="0.25">
      <c r="A572" s="2">
        <v>43773</v>
      </c>
      <c r="B572" t="s">
        <v>44</v>
      </c>
      <c r="C572">
        <v>0</v>
      </c>
      <c r="D572" s="3">
        <v>4.93</v>
      </c>
      <c r="E572" s="3">
        <v>0</v>
      </c>
      <c r="F572">
        <v>3</v>
      </c>
      <c r="G572">
        <v>4</v>
      </c>
      <c r="H572" s="4">
        <v>0</v>
      </c>
      <c r="I572" t="s">
        <v>33</v>
      </c>
      <c r="J572" t="s">
        <v>33</v>
      </c>
      <c r="L572">
        <f t="shared" si="16"/>
        <v>2019</v>
      </c>
      <c r="M572" t="str">
        <f t="shared" si="17"/>
        <v>Pre-COVID</v>
      </c>
    </row>
    <row r="573" spans="1:13" x14ac:dyDescent="0.25">
      <c r="A573" s="2">
        <v>43773</v>
      </c>
      <c r="B573" t="s">
        <v>45</v>
      </c>
      <c r="C573">
        <v>0</v>
      </c>
      <c r="D573" s="3">
        <v>14.5</v>
      </c>
      <c r="E573" s="3">
        <v>0</v>
      </c>
      <c r="F573">
        <v>3</v>
      </c>
      <c r="G573">
        <v>3</v>
      </c>
      <c r="H573" s="4">
        <v>0.7</v>
      </c>
      <c r="I573" t="s">
        <v>33</v>
      </c>
      <c r="J573" t="s">
        <v>33</v>
      </c>
      <c r="L573">
        <f t="shared" si="16"/>
        <v>2019</v>
      </c>
      <c r="M573" t="str">
        <f t="shared" si="17"/>
        <v>Pre-COVID</v>
      </c>
    </row>
    <row r="574" spans="1:13" x14ac:dyDescent="0.25">
      <c r="A574" s="2">
        <v>43780</v>
      </c>
      <c r="B574" t="s">
        <v>32</v>
      </c>
      <c r="C574">
        <v>26</v>
      </c>
      <c r="D574" s="3">
        <v>7.13</v>
      </c>
      <c r="E574" s="3">
        <v>185.38</v>
      </c>
      <c r="F574">
        <v>27</v>
      </c>
      <c r="G574">
        <v>3</v>
      </c>
      <c r="H574" s="4">
        <v>0.3</v>
      </c>
      <c r="I574" t="s">
        <v>33</v>
      </c>
      <c r="J574" t="s">
        <v>33</v>
      </c>
      <c r="L574">
        <f t="shared" si="16"/>
        <v>2019</v>
      </c>
      <c r="M574" t="str">
        <f t="shared" si="17"/>
        <v>Pre-COVID</v>
      </c>
    </row>
    <row r="575" spans="1:13" x14ac:dyDescent="0.25">
      <c r="A575" s="2">
        <v>43780</v>
      </c>
      <c r="B575" t="s">
        <v>34</v>
      </c>
      <c r="C575">
        <v>19</v>
      </c>
      <c r="D575" s="3">
        <v>7.39</v>
      </c>
      <c r="E575" s="3">
        <v>140.41</v>
      </c>
      <c r="F575">
        <v>31</v>
      </c>
      <c r="G575">
        <v>16</v>
      </c>
      <c r="H575" s="4">
        <v>1.1000000000000001</v>
      </c>
      <c r="I575" t="s">
        <v>33</v>
      </c>
      <c r="J575" t="s">
        <v>33</v>
      </c>
      <c r="L575">
        <f t="shared" si="16"/>
        <v>2019</v>
      </c>
      <c r="M575" t="str">
        <f t="shared" si="17"/>
        <v>Pre-COVID</v>
      </c>
    </row>
    <row r="576" spans="1:13" x14ac:dyDescent="0.25">
      <c r="A576" s="2">
        <v>43780</v>
      </c>
      <c r="B576" t="s">
        <v>35</v>
      </c>
      <c r="C576">
        <v>11</v>
      </c>
      <c r="D576" s="3">
        <v>5.72</v>
      </c>
      <c r="E576" s="3">
        <v>62.92</v>
      </c>
      <c r="F576">
        <v>17</v>
      </c>
      <c r="G576">
        <v>8</v>
      </c>
      <c r="H576" s="4">
        <v>0</v>
      </c>
      <c r="I576" t="s">
        <v>33</v>
      </c>
      <c r="J576" t="s">
        <v>33</v>
      </c>
      <c r="L576">
        <f t="shared" si="16"/>
        <v>2019</v>
      </c>
      <c r="M576" t="str">
        <f t="shared" si="17"/>
        <v>Pre-COVID</v>
      </c>
    </row>
    <row r="577" spans="1:13" x14ac:dyDescent="0.25">
      <c r="A577" s="2">
        <v>43780</v>
      </c>
      <c r="B577" t="s">
        <v>36</v>
      </c>
      <c r="C577">
        <v>14</v>
      </c>
      <c r="D577" s="3">
        <v>6.49</v>
      </c>
      <c r="E577" s="3">
        <v>90.86</v>
      </c>
      <c r="F577">
        <v>23</v>
      </c>
      <c r="G577">
        <v>13</v>
      </c>
      <c r="H577" s="4">
        <v>1.6</v>
      </c>
      <c r="I577" t="s">
        <v>33</v>
      </c>
      <c r="J577" t="s">
        <v>33</v>
      </c>
      <c r="L577">
        <f t="shared" si="16"/>
        <v>2019</v>
      </c>
      <c r="M577" t="str">
        <f t="shared" si="17"/>
        <v>Pre-COVID</v>
      </c>
    </row>
    <row r="578" spans="1:13" x14ac:dyDescent="0.25">
      <c r="A578" s="2">
        <v>43780</v>
      </c>
      <c r="B578" t="s">
        <v>37</v>
      </c>
      <c r="C578">
        <v>22</v>
      </c>
      <c r="D578" s="3">
        <v>3.35</v>
      </c>
      <c r="E578" s="3">
        <v>73.7</v>
      </c>
      <c r="F578">
        <v>33</v>
      </c>
      <c r="G578">
        <v>15</v>
      </c>
      <c r="H578" s="4">
        <v>0.6</v>
      </c>
      <c r="I578" t="s">
        <v>33</v>
      </c>
      <c r="J578" t="s">
        <v>33</v>
      </c>
      <c r="L578">
        <f t="shared" ref="L578:L641" si="18">YEAR(A578)</f>
        <v>2019</v>
      </c>
      <c r="M578" t="str">
        <f t="shared" ref="M578:M641" si="19">IF(L578=2019,"Pre-COVID","COVID Period")</f>
        <v>Pre-COVID</v>
      </c>
    </row>
    <row r="579" spans="1:13" x14ac:dyDescent="0.25">
      <c r="A579" s="2">
        <v>43780</v>
      </c>
      <c r="B579" t="s">
        <v>38</v>
      </c>
      <c r="C579">
        <v>15</v>
      </c>
      <c r="D579" s="3">
        <v>8.89</v>
      </c>
      <c r="E579" s="3">
        <v>133.35</v>
      </c>
      <c r="F579">
        <v>24</v>
      </c>
      <c r="G579">
        <v>13</v>
      </c>
      <c r="H579" s="4">
        <v>1.2</v>
      </c>
      <c r="I579" t="s">
        <v>33</v>
      </c>
      <c r="J579" t="s">
        <v>33</v>
      </c>
      <c r="L579">
        <f t="shared" si="18"/>
        <v>2019</v>
      </c>
      <c r="M579" t="str">
        <f t="shared" si="19"/>
        <v>Pre-COVID</v>
      </c>
    </row>
    <row r="580" spans="1:13" x14ac:dyDescent="0.25">
      <c r="A580" s="2">
        <v>43780</v>
      </c>
      <c r="B580" t="s">
        <v>39</v>
      </c>
      <c r="C580">
        <v>21</v>
      </c>
      <c r="D580" s="3">
        <v>11.58</v>
      </c>
      <c r="E580" s="3">
        <v>243.18</v>
      </c>
      <c r="F580">
        <v>28</v>
      </c>
      <c r="G580">
        <v>8</v>
      </c>
      <c r="H580" s="4">
        <v>0.9</v>
      </c>
      <c r="I580" t="s">
        <v>33</v>
      </c>
      <c r="J580" t="s">
        <v>33</v>
      </c>
      <c r="L580">
        <f t="shared" si="18"/>
        <v>2019</v>
      </c>
      <c r="M580" t="str">
        <f t="shared" si="19"/>
        <v>Pre-COVID</v>
      </c>
    </row>
    <row r="581" spans="1:13" x14ac:dyDescent="0.25">
      <c r="A581" s="2">
        <v>43780</v>
      </c>
      <c r="B581" t="s">
        <v>40</v>
      </c>
      <c r="C581">
        <v>12</v>
      </c>
      <c r="D581" s="3">
        <v>0.66</v>
      </c>
      <c r="E581" s="3">
        <v>7.92</v>
      </c>
      <c r="F581">
        <v>17</v>
      </c>
      <c r="G581">
        <v>6</v>
      </c>
      <c r="H581" s="4">
        <v>0.9</v>
      </c>
      <c r="I581" t="s">
        <v>33</v>
      </c>
      <c r="J581" t="s">
        <v>33</v>
      </c>
      <c r="L581">
        <f t="shared" si="18"/>
        <v>2019</v>
      </c>
      <c r="M581" t="str">
        <f t="shared" si="19"/>
        <v>Pre-COVID</v>
      </c>
    </row>
    <row r="582" spans="1:13" x14ac:dyDescent="0.25">
      <c r="A582" s="2">
        <v>43780</v>
      </c>
      <c r="B582" t="s">
        <v>41</v>
      </c>
      <c r="C582">
        <v>7</v>
      </c>
      <c r="D582" s="3">
        <v>1.36</v>
      </c>
      <c r="E582" s="3">
        <v>9.52</v>
      </c>
      <c r="F582">
        <v>8</v>
      </c>
      <c r="G582">
        <v>1</v>
      </c>
      <c r="H582" s="4">
        <v>0.5</v>
      </c>
      <c r="I582" t="s">
        <v>33</v>
      </c>
      <c r="J582" t="s">
        <v>33</v>
      </c>
      <c r="L582">
        <f t="shared" si="18"/>
        <v>2019</v>
      </c>
      <c r="M582" t="str">
        <f t="shared" si="19"/>
        <v>Pre-COVID</v>
      </c>
    </row>
    <row r="583" spans="1:13" x14ac:dyDescent="0.25">
      <c r="A583" s="2">
        <v>43780</v>
      </c>
      <c r="B583" t="s">
        <v>42</v>
      </c>
      <c r="C583">
        <v>7</v>
      </c>
      <c r="D583" s="3">
        <v>4.37</v>
      </c>
      <c r="E583" s="3">
        <v>30.59</v>
      </c>
      <c r="F583">
        <v>11</v>
      </c>
      <c r="G583">
        <v>4</v>
      </c>
      <c r="H583" s="4">
        <v>0.2</v>
      </c>
      <c r="I583" t="s">
        <v>33</v>
      </c>
      <c r="J583" t="s">
        <v>33</v>
      </c>
      <c r="L583">
        <f t="shared" si="18"/>
        <v>2019</v>
      </c>
      <c r="M583" t="str">
        <f t="shared" si="19"/>
        <v>Pre-COVID</v>
      </c>
    </row>
    <row r="584" spans="1:13" x14ac:dyDescent="0.25">
      <c r="A584" s="2">
        <v>43780</v>
      </c>
      <c r="B584" t="s">
        <v>43</v>
      </c>
      <c r="C584">
        <v>5</v>
      </c>
      <c r="D584" s="3">
        <v>5.31</v>
      </c>
      <c r="E584" s="3">
        <v>26.55</v>
      </c>
      <c r="F584">
        <v>5</v>
      </c>
      <c r="G584">
        <v>1</v>
      </c>
      <c r="H584" s="4">
        <v>0.6</v>
      </c>
      <c r="I584" t="s">
        <v>33</v>
      </c>
      <c r="J584" t="s">
        <v>33</v>
      </c>
      <c r="L584">
        <f t="shared" si="18"/>
        <v>2019</v>
      </c>
      <c r="M584" t="str">
        <f t="shared" si="19"/>
        <v>Pre-COVID</v>
      </c>
    </row>
    <row r="585" spans="1:13" x14ac:dyDescent="0.25">
      <c r="A585" s="2">
        <v>43780</v>
      </c>
      <c r="B585" t="s">
        <v>44</v>
      </c>
      <c r="C585">
        <v>0</v>
      </c>
      <c r="D585" s="3">
        <v>4.74</v>
      </c>
      <c r="E585" s="3">
        <v>0</v>
      </c>
      <c r="F585">
        <v>3</v>
      </c>
      <c r="G585">
        <v>3</v>
      </c>
      <c r="H585" s="4">
        <v>0.4</v>
      </c>
      <c r="I585" t="s">
        <v>33</v>
      </c>
      <c r="J585" t="s">
        <v>33</v>
      </c>
      <c r="L585">
        <f t="shared" si="18"/>
        <v>2019</v>
      </c>
      <c r="M585" t="str">
        <f t="shared" si="19"/>
        <v>Pre-COVID</v>
      </c>
    </row>
    <row r="586" spans="1:13" x14ac:dyDescent="0.25">
      <c r="A586" s="2">
        <v>43780</v>
      </c>
      <c r="B586" t="s">
        <v>45</v>
      </c>
      <c r="C586">
        <v>0</v>
      </c>
      <c r="D586" s="3">
        <v>15.68</v>
      </c>
      <c r="E586" s="3">
        <v>0</v>
      </c>
      <c r="F586">
        <v>3</v>
      </c>
      <c r="G586">
        <v>3</v>
      </c>
      <c r="H586" s="4">
        <v>1.4</v>
      </c>
      <c r="I586" t="s">
        <v>33</v>
      </c>
      <c r="J586" t="s">
        <v>33</v>
      </c>
      <c r="L586">
        <f t="shared" si="18"/>
        <v>2019</v>
      </c>
      <c r="M586" t="str">
        <f t="shared" si="19"/>
        <v>Pre-COVID</v>
      </c>
    </row>
    <row r="587" spans="1:13" x14ac:dyDescent="0.25">
      <c r="A587" s="2">
        <v>43787</v>
      </c>
      <c r="B587" t="s">
        <v>32</v>
      </c>
      <c r="C587">
        <v>30</v>
      </c>
      <c r="D587" s="3">
        <v>7</v>
      </c>
      <c r="E587" s="3">
        <v>210</v>
      </c>
      <c r="F587">
        <v>49</v>
      </c>
      <c r="G587">
        <v>26</v>
      </c>
      <c r="H587" s="4">
        <v>1.2</v>
      </c>
      <c r="I587" t="s">
        <v>33</v>
      </c>
      <c r="J587" t="s">
        <v>33</v>
      </c>
      <c r="L587">
        <f t="shared" si="18"/>
        <v>2019</v>
      </c>
      <c r="M587" t="str">
        <f t="shared" si="19"/>
        <v>Pre-COVID</v>
      </c>
    </row>
    <row r="588" spans="1:13" x14ac:dyDescent="0.25">
      <c r="A588" s="2">
        <v>43787</v>
      </c>
      <c r="B588" t="s">
        <v>34</v>
      </c>
      <c r="C588">
        <v>15</v>
      </c>
      <c r="D588" s="3">
        <v>7.36</v>
      </c>
      <c r="E588" s="3">
        <v>110.4</v>
      </c>
      <c r="F588">
        <v>19</v>
      </c>
      <c r="G588">
        <v>5</v>
      </c>
      <c r="H588" s="4">
        <v>0.2</v>
      </c>
      <c r="I588" t="s">
        <v>33</v>
      </c>
      <c r="J588" t="s">
        <v>33</v>
      </c>
      <c r="L588">
        <f t="shared" si="18"/>
        <v>2019</v>
      </c>
      <c r="M588" t="str">
        <f t="shared" si="19"/>
        <v>Pre-COVID</v>
      </c>
    </row>
    <row r="589" spans="1:13" x14ac:dyDescent="0.25">
      <c r="A589" s="2">
        <v>43787</v>
      </c>
      <c r="B589" t="s">
        <v>35</v>
      </c>
      <c r="C589">
        <v>11</v>
      </c>
      <c r="D589" s="3">
        <v>5.86</v>
      </c>
      <c r="E589" s="3">
        <v>64.459999999999994</v>
      </c>
      <c r="F589">
        <v>17</v>
      </c>
      <c r="G589">
        <v>7</v>
      </c>
      <c r="H589" s="4">
        <v>0.6</v>
      </c>
      <c r="I589" t="s">
        <v>33</v>
      </c>
      <c r="J589" t="s">
        <v>33</v>
      </c>
      <c r="L589">
        <f t="shared" si="18"/>
        <v>2019</v>
      </c>
      <c r="M589" t="str">
        <f t="shared" si="19"/>
        <v>Pre-COVID</v>
      </c>
    </row>
    <row r="590" spans="1:13" x14ac:dyDescent="0.25">
      <c r="A590" s="2">
        <v>43787</v>
      </c>
      <c r="B590" t="s">
        <v>36</v>
      </c>
      <c r="C590">
        <v>13</v>
      </c>
      <c r="D590" s="3">
        <v>6.09</v>
      </c>
      <c r="E590" s="3">
        <v>79.17</v>
      </c>
      <c r="F590">
        <v>21</v>
      </c>
      <c r="G590">
        <v>11</v>
      </c>
      <c r="H590" s="4">
        <v>1.4</v>
      </c>
      <c r="I590" t="s">
        <v>33</v>
      </c>
      <c r="J590" t="s">
        <v>33</v>
      </c>
      <c r="L590">
        <f t="shared" si="18"/>
        <v>2019</v>
      </c>
      <c r="M590" t="str">
        <f t="shared" si="19"/>
        <v>Pre-COVID</v>
      </c>
    </row>
    <row r="591" spans="1:13" x14ac:dyDescent="0.25">
      <c r="A591" s="2">
        <v>43787</v>
      </c>
      <c r="B591" t="s">
        <v>37</v>
      </c>
      <c r="C591">
        <v>29</v>
      </c>
      <c r="D591" s="3">
        <v>3.34</v>
      </c>
      <c r="E591" s="3">
        <v>96.86</v>
      </c>
      <c r="F591">
        <v>37</v>
      </c>
      <c r="G591">
        <v>15</v>
      </c>
      <c r="H591" s="4">
        <v>0</v>
      </c>
      <c r="I591" t="s">
        <v>33</v>
      </c>
      <c r="J591" t="s">
        <v>33</v>
      </c>
      <c r="L591">
        <f t="shared" si="18"/>
        <v>2019</v>
      </c>
      <c r="M591" t="str">
        <f t="shared" si="19"/>
        <v>Pre-COVID</v>
      </c>
    </row>
    <row r="592" spans="1:13" x14ac:dyDescent="0.25">
      <c r="A592" s="2">
        <v>43787</v>
      </c>
      <c r="B592" t="s">
        <v>38</v>
      </c>
      <c r="C592">
        <v>16</v>
      </c>
      <c r="D592" s="3">
        <v>8.65</v>
      </c>
      <c r="E592" s="3">
        <v>138.4</v>
      </c>
      <c r="F592">
        <v>21</v>
      </c>
      <c r="G592">
        <v>6</v>
      </c>
      <c r="H592" s="4">
        <v>0.8</v>
      </c>
      <c r="I592" t="s">
        <v>33</v>
      </c>
      <c r="J592" t="s">
        <v>33</v>
      </c>
      <c r="L592">
        <f t="shared" si="18"/>
        <v>2019</v>
      </c>
      <c r="M592" t="str">
        <f t="shared" si="19"/>
        <v>Pre-COVID</v>
      </c>
    </row>
    <row r="593" spans="1:13" x14ac:dyDescent="0.25">
      <c r="A593" s="2">
        <v>43787</v>
      </c>
      <c r="B593" t="s">
        <v>39</v>
      </c>
      <c r="C593">
        <v>34</v>
      </c>
      <c r="D593" s="3">
        <v>11.52</v>
      </c>
      <c r="E593" s="3">
        <v>391.68</v>
      </c>
      <c r="F593">
        <v>52</v>
      </c>
      <c r="G593">
        <v>21</v>
      </c>
      <c r="H593" s="4">
        <v>0.4</v>
      </c>
      <c r="I593" t="s">
        <v>33</v>
      </c>
      <c r="J593" t="s">
        <v>33</v>
      </c>
      <c r="L593">
        <f t="shared" si="18"/>
        <v>2019</v>
      </c>
      <c r="M593" t="str">
        <f t="shared" si="19"/>
        <v>Pre-COVID</v>
      </c>
    </row>
    <row r="594" spans="1:13" x14ac:dyDescent="0.25">
      <c r="A594" s="2">
        <v>43787</v>
      </c>
      <c r="B594" t="s">
        <v>40</v>
      </c>
      <c r="C594">
        <v>11</v>
      </c>
      <c r="D594" s="3">
        <v>0.66</v>
      </c>
      <c r="E594" s="3">
        <v>7.26</v>
      </c>
      <c r="F594">
        <v>17</v>
      </c>
      <c r="G594">
        <v>8</v>
      </c>
      <c r="H594" s="4">
        <v>0.5</v>
      </c>
      <c r="I594" t="s">
        <v>33</v>
      </c>
      <c r="J594" t="s">
        <v>33</v>
      </c>
      <c r="L594">
        <f t="shared" si="18"/>
        <v>2019</v>
      </c>
      <c r="M594" t="str">
        <f t="shared" si="19"/>
        <v>Pre-COVID</v>
      </c>
    </row>
    <row r="595" spans="1:13" x14ac:dyDescent="0.25">
      <c r="A595" s="2">
        <v>43787</v>
      </c>
      <c r="B595" t="s">
        <v>41</v>
      </c>
      <c r="C595">
        <v>8</v>
      </c>
      <c r="D595" s="3">
        <v>1.33</v>
      </c>
      <c r="E595" s="3">
        <v>10.64</v>
      </c>
      <c r="F595">
        <v>10</v>
      </c>
      <c r="G595">
        <v>3</v>
      </c>
      <c r="H595" s="4">
        <v>1</v>
      </c>
      <c r="I595" t="s">
        <v>33</v>
      </c>
      <c r="J595" t="s">
        <v>33</v>
      </c>
      <c r="L595">
        <f t="shared" si="18"/>
        <v>2019</v>
      </c>
      <c r="M595" t="str">
        <f t="shared" si="19"/>
        <v>Pre-COVID</v>
      </c>
    </row>
    <row r="596" spans="1:13" x14ac:dyDescent="0.25">
      <c r="A596" s="2">
        <v>43787</v>
      </c>
      <c r="B596" t="s">
        <v>42</v>
      </c>
      <c r="C596">
        <v>6</v>
      </c>
      <c r="D596" s="3">
        <v>4.17</v>
      </c>
      <c r="E596" s="3">
        <v>25.02</v>
      </c>
      <c r="F596">
        <v>7</v>
      </c>
      <c r="G596">
        <v>2</v>
      </c>
      <c r="H596" s="4">
        <v>1.8</v>
      </c>
      <c r="I596" t="s">
        <v>33</v>
      </c>
      <c r="J596" t="s">
        <v>33</v>
      </c>
      <c r="L596">
        <f t="shared" si="18"/>
        <v>2019</v>
      </c>
      <c r="M596" t="str">
        <f t="shared" si="19"/>
        <v>Pre-COVID</v>
      </c>
    </row>
    <row r="597" spans="1:13" x14ac:dyDescent="0.25">
      <c r="A597" s="2">
        <v>43787</v>
      </c>
      <c r="B597" t="s">
        <v>43</v>
      </c>
      <c r="C597">
        <v>6</v>
      </c>
      <c r="D597" s="3">
        <v>5.65</v>
      </c>
      <c r="E597" s="3">
        <v>33.9</v>
      </c>
      <c r="F597">
        <v>8</v>
      </c>
      <c r="G597">
        <v>3</v>
      </c>
      <c r="H597" s="4">
        <v>1.2</v>
      </c>
      <c r="I597" t="s">
        <v>33</v>
      </c>
      <c r="J597" t="s">
        <v>33</v>
      </c>
      <c r="L597">
        <f t="shared" si="18"/>
        <v>2019</v>
      </c>
      <c r="M597" t="str">
        <f t="shared" si="19"/>
        <v>Pre-COVID</v>
      </c>
    </row>
    <row r="598" spans="1:13" x14ac:dyDescent="0.25">
      <c r="A598" s="2">
        <v>43787</v>
      </c>
      <c r="B598" t="s">
        <v>44</v>
      </c>
      <c r="C598">
        <v>1</v>
      </c>
      <c r="D598" s="3">
        <v>4.9000000000000004</v>
      </c>
      <c r="E598" s="3">
        <v>4.9000000000000004</v>
      </c>
      <c r="F598">
        <v>3</v>
      </c>
      <c r="G598">
        <v>2</v>
      </c>
      <c r="H598" s="4">
        <v>1.1000000000000001</v>
      </c>
      <c r="I598" t="s">
        <v>46</v>
      </c>
      <c r="J598" t="s">
        <v>33</v>
      </c>
      <c r="K598" t="s">
        <v>47</v>
      </c>
      <c r="L598">
        <f t="shared" si="18"/>
        <v>2019</v>
      </c>
      <c r="M598" t="str">
        <f t="shared" si="19"/>
        <v>Pre-COVID</v>
      </c>
    </row>
    <row r="599" spans="1:13" x14ac:dyDescent="0.25">
      <c r="A599" s="2">
        <v>43787</v>
      </c>
      <c r="B599" t="s">
        <v>45</v>
      </c>
      <c r="C599">
        <v>0</v>
      </c>
      <c r="D599" s="3">
        <v>15.68</v>
      </c>
      <c r="E599" s="3">
        <v>0</v>
      </c>
      <c r="F599">
        <v>3</v>
      </c>
      <c r="G599">
        <v>3</v>
      </c>
      <c r="H599" s="4">
        <v>1.3</v>
      </c>
      <c r="I599" t="s">
        <v>33</v>
      </c>
      <c r="J599" t="s">
        <v>33</v>
      </c>
      <c r="L599">
        <f t="shared" si="18"/>
        <v>2019</v>
      </c>
      <c r="M599" t="str">
        <f t="shared" si="19"/>
        <v>Pre-COVID</v>
      </c>
    </row>
    <row r="600" spans="1:13" x14ac:dyDescent="0.25">
      <c r="A600" s="2">
        <v>43794</v>
      </c>
      <c r="B600" t="s">
        <v>32</v>
      </c>
      <c r="C600">
        <v>18</v>
      </c>
      <c r="D600" s="3">
        <v>6.67</v>
      </c>
      <c r="E600" s="3">
        <v>120.06</v>
      </c>
      <c r="F600">
        <v>26</v>
      </c>
      <c r="G600">
        <v>11</v>
      </c>
      <c r="H600" s="4">
        <v>1.4</v>
      </c>
      <c r="I600" t="s">
        <v>33</v>
      </c>
      <c r="J600" t="s">
        <v>33</v>
      </c>
      <c r="L600">
        <f t="shared" si="18"/>
        <v>2019</v>
      </c>
      <c r="M600" t="str">
        <f t="shared" si="19"/>
        <v>Pre-COVID</v>
      </c>
    </row>
    <row r="601" spans="1:13" x14ac:dyDescent="0.25">
      <c r="A601" s="2">
        <v>43794</v>
      </c>
      <c r="B601" t="s">
        <v>34</v>
      </c>
      <c r="C601">
        <v>20</v>
      </c>
      <c r="D601" s="3">
        <v>6.95</v>
      </c>
      <c r="E601" s="3">
        <v>139</v>
      </c>
      <c r="F601">
        <v>27</v>
      </c>
      <c r="G601">
        <v>10</v>
      </c>
      <c r="H601" s="4">
        <v>0.6</v>
      </c>
      <c r="I601" t="s">
        <v>33</v>
      </c>
      <c r="J601" t="s">
        <v>33</v>
      </c>
      <c r="L601">
        <f t="shared" si="18"/>
        <v>2019</v>
      </c>
      <c r="M601" t="str">
        <f t="shared" si="19"/>
        <v>Pre-COVID</v>
      </c>
    </row>
    <row r="602" spans="1:13" x14ac:dyDescent="0.25">
      <c r="A602" s="2">
        <v>43794</v>
      </c>
      <c r="B602" t="s">
        <v>35</v>
      </c>
      <c r="C602">
        <v>12</v>
      </c>
      <c r="D602" s="3">
        <v>6.18</v>
      </c>
      <c r="E602" s="3">
        <v>74.16</v>
      </c>
      <c r="F602">
        <v>19</v>
      </c>
      <c r="G602">
        <v>9</v>
      </c>
      <c r="H602" s="4">
        <v>0.5</v>
      </c>
      <c r="I602" t="s">
        <v>33</v>
      </c>
      <c r="J602" t="s">
        <v>33</v>
      </c>
      <c r="L602">
        <f t="shared" si="18"/>
        <v>2019</v>
      </c>
      <c r="M602" t="str">
        <f t="shared" si="19"/>
        <v>Pre-COVID</v>
      </c>
    </row>
    <row r="603" spans="1:13" x14ac:dyDescent="0.25">
      <c r="A603" s="2">
        <v>43794</v>
      </c>
      <c r="B603" t="s">
        <v>36</v>
      </c>
      <c r="C603">
        <v>12</v>
      </c>
      <c r="D603" s="3">
        <v>6.31</v>
      </c>
      <c r="E603" s="3">
        <v>75.72</v>
      </c>
      <c r="F603">
        <v>15</v>
      </c>
      <c r="G603">
        <v>4</v>
      </c>
      <c r="H603" s="4">
        <v>0</v>
      </c>
      <c r="I603" t="s">
        <v>33</v>
      </c>
      <c r="J603" t="s">
        <v>33</v>
      </c>
      <c r="L603">
        <f t="shared" si="18"/>
        <v>2019</v>
      </c>
      <c r="M603" t="str">
        <f t="shared" si="19"/>
        <v>Pre-COVID</v>
      </c>
    </row>
    <row r="604" spans="1:13" x14ac:dyDescent="0.25">
      <c r="A604" s="2">
        <v>43794</v>
      </c>
      <c r="B604" t="s">
        <v>37</v>
      </c>
      <c r="C604">
        <v>36</v>
      </c>
      <c r="D604" s="3">
        <v>3.36</v>
      </c>
      <c r="E604" s="3">
        <v>120.96</v>
      </c>
      <c r="F604">
        <v>38</v>
      </c>
      <c r="G604">
        <v>6</v>
      </c>
      <c r="H604" s="4">
        <v>0.6</v>
      </c>
      <c r="I604" t="s">
        <v>33</v>
      </c>
      <c r="J604" t="s">
        <v>33</v>
      </c>
      <c r="L604">
        <f t="shared" si="18"/>
        <v>2019</v>
      </c>
      <c r="M604" t="str">
        <f t="shared" si="19"/>
        <v>Pre-COVID</v>
      </c>
    </row>
    <row r="605" spans="1:13" x14ac:dyDescent="0.25">
      <c r="A605" s="2">
        <v>43794</v>
      </c>
      <c r="B605" t="s">
        <v>38</v>
      </c>
      <c r="C605">
        <v>13</v>
      </c>
      <c r="D605" s="3">
        <v>8.65</v>
      </c>
      <c r="E605" s="3">
        <v>112.45</v>
      </c>
      <c r="F605">
        <v>15</v>
      </c>
      <c r="G605">
        <v>4</v>
      </c>
      <c r="H605" s="4">
        <v>1.6</v>
      </c>
      <c r="I605" t="s">
        <v>33</v>
      </c>
      <c r="J605" t="s">
        <v>33</v>
      </c>
      <c r="L605">
        <f t="shared" si="18"/>
        <v>2019</v>
      </c>
      <c r="M605" t="str">
        <f t="shared" si="19"/>
        <v>Pre-COVID</v>
      </c>
    </row>
    <row r="606" spans="1:13" x14ac:dyDescent="0.25">
      <c r="A606" s="2">
        <v>43794</v>
      </c>
      <c r="B606" t="s">
        <v>39</v>
      </c>
      <c r="C606">
        <v>31</v>
      </c>
      <c r="D606" s="3">
        <v>11.75</v>
      </c>
      <c r="E606" s="3">
        <v>364.25</v>
      </c>
      <c r="F606">
        <v>35</v>
      </c>
      <c r="G606">
        <v>10</v>
      </c>
      <c r="H606" s="4">
        <v>0.4</v>
      </c>
      <c r="I606" t="s">
        <v>33</v>
      </c>
      <c r="J606" t="s">
        <v>33</v>
      </c>
      <c r="L606">
        <f t="shared" si="18"/>
        <v>2019</v>
      </c>
      <c r="M606" t="str">
        <f t="shared" si="19"/>
        <v>Pre-COVID</v>
      </c>
    </row>
    <row r="607" spans="1:13" x14ac:dyDescent="0.25">
      <c r="A607" s="2">
        <v>43794</v>
      </c>
      <c r="B607" t="s">
        <v>40</v>
      </c>
      <c r="C607">
        <v>10</v>
      </c>
      <c r="D607" s="3">
        <v>0.66</v>
      </c>
      <c r="E607" s="3">
        <v>6.6</v>
      </c>
      <c r="F607">
        <v>11</v>
      </c>
      <c r="G607">
        <v>2</v>
      </c>
      <c r="H607" s="4">
        <v>1.9</v>
      </c>
      <c r="I607" t="s">
        <v>33</v>
      </c>
      <c r="J607" t="s">
        <v>33</v>
      </c>
      <c r="L607">
        <f t="shared" si="18"/>
        <v>2019</v>
      </c>
      <c r="M607" t="str">
        <f t="shared" si="19"/>
        <v>Pre-COVID</v>
      </c>
    </row>
    <row r="608" spans="1:13" x14ac:dyDescent="0.25">
      <c r="A608" s="2">
        <v>43794</v>
      </c>
      <c r="B608" t="s">
        <v>41</v>
      </c>
      <c r="C608">
        <v>6</v>
      </c>
      <c r="D608" s="3">
        <v>1.31</v>
      </c>
      <c r="E608" s="3">
        <v>7.86</v>
      </c>
      <c r="F608">
        <v>6</v>
      </c>
      <c r="G608">
        <v>1</v>
      </c>
      <c r="H608" s="4">
        <v>0</v>
      </c>
      <c r="I608" t="s">
        <v>33</v>
      </c>
      <c r="J608" t="s">
        <v>33</v>
      </c>
      <c r="L608">
        <f t="shared" si="18"/>
        <v>2019</v>
      </c>
      <c r="M608" t="str">
        <f t="shared" si="19"/>
        <v>Pre-COVID</v>
      </c>
    </row>
    <row r="609" spans="1:13" x14ac:dyDescent="0.25">
      <c r="A609" s="2">
        <v>43794</v>
      </c>
      <c r="B609" t="s">
        <v>42</v>
      </c>
      <c r="C609">
        <v>6</v>
      </c>
      <c r="D609" s="3">
        <v>4.38</v>
      </c>
      <c r="E609" s="3">
        <v>26.28</v>
      </c>
      <c r="F609">
        <v>10</v>
      </c>
      <c r="G609">
        <v>6</v>
      </c>
      <c r="H609" s="4">
        <v>0.6</v>
      </c>
      <c r="I609" t="s">
        <v>33</v>
      </c>
      <c r="J609" t="s">
        <v>33</v>
      </c>
      <c r="L609">
        <f t="shared" si="18"/>
        <v>2019</v>
      </c>
      <c r="M609" t="str">
        <f t="shared" si="19"/>
        <v>Pre-COVID</v>
      </c>
    </row>
    <row r="610" spans="1:13" x14ac:dyDescent="0.25">
      <c r="A610" s="2">
        <v>43794</v>
      </c>
      <c r="B610" t="s">
        <v>43</v>
      </c>
      <c r="C610">
        <v>4</v>
      </c>
      <c r="D610" s="3">
        <v>5.36</v>
      </c>
      <c r="E610" s="3">
        <v>21.44</v>
      </c>
      <c r="F610">
        <v>5</v>
      </c>
      <c r="G610">
        <v>2</v>
      </c>
      <c r="H610" s="4">
        <v>0.5</v>
      </c>
      <c r="I610" t="s">
        <v>33</v>
      </c>
      <c r="J610" t="s">
        <v>33</v>
      </c>
      <c r="L610">
        <f t="shared" si="18"/>
        <v>2019</v>
      </c>
      <c r="M610" t="str">
        <f t="shared" si="19"/>
        <v>Pre-COVID</v>
      </c>
    </row>
    <row r="611" spans="1:13" x14ac:dyDescent="0.25">
      <c r="A611" s="2">
        <v>43794</v>
      </c>
      <c r="B611" t="s">
        <v>44</v>
      </c>
      <c r="C611">
        <v>0</v>
      </c>
      <c r="D611" s="3">
        <v>4.7300000000000004</v>
      </c>
      <c r="E611" s="3">
        <v>0</v>
      </c>
      <c r="F611">
        <v>3</v>
      </c>
      <c r="G611">
        <v>3</v>
      </c>
      <c r="H611" s="4">
        <v>0</v>
      </c>
      <c r="I611" t="s">
        <v>33</v>
      </c>
      <c r="J611" t="s">
        <v>33</v>
      </c>
      <c r="L611">
        <f t="shared" si="18"/>
        <v>2019</v>
      </c>
      <c r="M611" t="str">
        <f t="shared" si="19"/>
        <v>Pre-COVID</v>
      </c>
    </row>
    <row r="612" spans="1:13" x14ac:dyDescent="0.25">
      <c r="A612" s="2">
        <v>43794</v>
      </c>
      <c r="B612" t="s">
        <v>45</v>
      </c>
      <c r="C612">
        <v>0</v>
      </c>
      <c r="D612" s="3">
        <v>14.83</v>
      </c>
      <c r="E612" s="3">
        <v>0</v>
      </c>
      <c r="F612">
        <v>3</v>
      </c>
      <c r="G612">
        <v>3</v>
      </c>
      <c r="H612" s="4">
        <v>0.3</v>
      </c>
      <c r="I612" t="s">
        <v>33</v>
      </c>
      <c r="J612" t="s">
        <v>33</v>
      </c>
      <c r="L612">
        <f t="shared" si="18"/>
        <v>2019</v>
      </c>
      <c r="M612" t="str">
        <f t="shared" si="19"/>
        <v>Pre-COVID</v>
      </c>
    </row>
    <row r="613" spans="1:13" x14ac:dyDescent="0.25">
      <c r="A613" s="2">
        <v>43801</v>
      </c>
      <c r="B613" t="s">
        <v>32</v>
      </c>
      <c r="C613">
        <v>19</v>
      </c>
      <c r="D613" s="3">
        <v>6.59</v>
      </c>
      <c r="E613" s="3">
        <v>125.21</v>
      </c>
      <c r="F613">
        <v>27</v>
      </c>
      <c r="G613">
        <v>9</v>
      </c>
      <c r="H613" s="4">
        <v>1.2</v>
      </c>
      <c r="I613" t="s">
        <v>33</v>
      </c>
      <c r="J613" t="s">
        <v>33</v>
      </c>
      <c r="L613">
        <f t="shared" si="18"/>
        <v>2019</v>
      </c>
      <c r="M613" t="str">
        <f t="shared" si="19"/>
        <v>Pre-COVID</v>
      </c>
    </row>
    <row r="614" spans="1:13" x14ac:dyDescent="0.25">
      <c r="A614" s="2">
        <v>43801</v>
      </c>
      <c r="B614" t="s">
        <v>34</v>
      </c>
      <c r="C614">
        <v>20</v>
      </c>
      <c r="D614" s="3">
        <v>7.14</v>
      </c>
      <c r="E614" s="3">
        <v>142.80000000000001</v>
      </c>
      <c r="F614">
        <v>29</v>
      </c>
      <c r="G614">
        <v>13</v>
      </c>
      <c r="H614" s="4">
        <v>0.2</v>
      </c>
      <c r="I614" t="s">
        <v>33</v>
      </c>
      <c r="J614" t="s">
        <v>33</v>
      </c>
      <c r="L614">
        <f t="shared" si="18"/>
        <v>2019</v>
      </c>
      <c r="M614" t="str">
        <f t="shared" si="19"/>
        <v>Pre-COVID</v>
      </c>
    </row>
    <row r="615" spans="1:13" x14ac:dyDescent="0.25">
      <c r="A615" s="2">
        <v>43801</v>
      </c>
      <c r="B615" t="s">
        <v>35</v>
      </c>
      <c r="C615">
        <v>17</v>
      </c>
      <c r="D615" s="3">
        <v>5.93</v>
      </c>
      <c r="E615" s="3">
        <v>100.81</v>
      </c>
      <c r="F615">
        <v>21</v>
      </c>
      <c r="G615">
        <v>5</v>
      </c>
      <c r="H615" s="4">
        <v>0.7</v>
      </c>
      <c r="I615" t="s">
        <v>33</v>
      </c>
      <c r="J615" t="s">
        <v>33</v>
      </c>
      <c r="L615">
        <f t="shared" si="18"/>
        <v>2019</v>
      </c>
      <c r="M615" t="str">
        <f t="shared" si="19"/>
        <v>Pre-COVID</v>
      </c>
    </row>
    <row r="616" spans="1:13" x14ac:dyDescent="0.25">
      <c r="A616" s="2">
        <v>43801</v>
      </c>
      <c r="B616" t="s">
        <v>36</v>
      </c>
      <c r="C616">
        <v>13</v>
      </c>
      <c r="D616" s="3">
        <v>6.02</v>
      </c>
      <c r="E616" s="3">
        <v>78.260000000000005</v>
      </c>
      <c r="F616">
        <v>15</v>
      </c>
      <c r="G616">
        <v>2</v>
      </c>
      <c r="H616" s="4">
        <v>0</v>
      </c>
      <c r="I616" t="s">
        <v>33</v>
      </c>
      <c r="J616" t="s">
        <v>33</v>
      </c>
      <c r="L616">
        <f t="shared" si="18"/>
        <v>2019</v>
      </c>
      <c r="M616" t="str">
        <f t="shared" si="19"/>
        <v>Pre-COVID</v>
      </c>
    </row>
    <row r="617" spans="1:13" x14ac:dyDescent="0.25">
      <c r="A617" s="2">
        <v>43801</v>
      </c>
      <c r="B617" t="s">
        <v>37</v>
      </c>
      <c r="C617">
        <v>39</v>
      </c>
      <c r="D617" s="3">
        <v>3.28</v>
      </c>
      <c r="E617" s="3">
        <v>127.92</v>
      </c>
      <c r="F617">
        <v>49</v>
      </c>
      <c r="G617">
        <v>14</v>
      </c>
      <c r="H617" s="4">
        <v>0.1</v>
      </c>
      <c r="I617" t="s">
        <v>33</v>
      </c>
      <c r="J617" t="s">
        <v>33</v>
      </c>
      <c r="L617">
        <f t="shared" si="18"/>
        <v>2019</v>
      </c>
      <c r="M617" t="str">
        <f t="shared" si="19"/>
        <v>Pre-COVID</v>
      </c>
    </row>
    <row r="618" spans="1:13" x14ac:dyDescent="0.25">
      <c r="A618" s="2">
        <v>43801</v>
      </c>
      <c r="B618" t="s">
        <v>38</v>
      </c>
      <c r="C618">
        <v>15</v>
      </c>
      <c r="D618" s="3">
        <v>8.75</v>
      </c>
      <c r="E618" s="3">
        <v>131.25</v>
      </c>
      <c r="F618">
        <v>22</v>
      </c>
      <c r="G618">
        <v>10</v>
      </c>
      <c r="H618" s="4">
        <v>0</v>
      </c>
      <c r="I618" t="s">
        <v>33</v>
      </c>
      <c r="J618" t="s">
        <v>33</v>
      </c>
      <c r="L618">
        <f t="shared" si="18"/>
        <v>2019</v>
      </c>
      <c r="M618" t="str">
        <f t="shared" si="19"/>
        <v>Pre-COVID</v>
      </c>
    </row>
    <row r="619" spans="1:13" x14ac:dyDescent="0.25">
      <c r="A619" s="2">
        <v>43801</v>
      </c>
      <c r="B619" t="s">
        <v>39</v>
      </c>
      <c r="C619">
        <v>19</v>
      </c>
      <c r="D619" s="3">
        <v>11.19</v>
      </c>
      <c r="E619" s="3">
        <v>212.61</v>
      </c>
      <c r="F619">
        <v>24</v>
      </c>
      <c r="G619">
        <v>9</v>
      </c>
      <c r="H619" s="4">
        <v>0.6</v>
      </c>
      <c r="I619" t="s">
        <v>33</v>
      </c>
      <c r="J619" t="s">
        <v>33</v>
      </c>
      <c r="L619">
        <f t="shared" si="18"/>
        <v>2019</v>
      </c>
      <c r="M619" t="str">
        <f t="shared" si="19"/>
        <v>Pre-COVID</v>
      </c>
    </row>
    <row r="620" spans="1:13" x14ac:dyDescent="0.25">
      <c r="A620" s="2">
        <v>43801</v>
      </c>
      <c r="B620" t="s">
        <v>40</v>
      </c>
      <c r="C620">
        <v>11</v>
      </c>
      <c r="D620" s="3">
        <v>0.63</v>
      </c>
      <c r="E620" s="3">
        <v>6.93</v>
      </c>
      <c r="F620">
        <v>16</v>
      </c>
      <c r="G620">
        <v>6</v>
      </c>
      <c r="H620" s="4">
        <v>1.4</v>
      </c>
      <c r="I620" t="s">
        <v>33</v>
      </c>
      <c r="J620" t="s">
        <v>33</v>
      </c>
      <c r="L620">
        <f t="shared" si="18"/>
        <v>2019</v>
      </c>
      <c r="M620" t="str">
        <f t="shared" si="19"/>
        <v>Pre-COVID</v>
      </c>
    </row>
    <row r="621" spans="1:13" x14ac:dyDescent="0.25">
      <c r="A621" s="2">
        <v>43801</v>
      </c>
      <c r="B621" t="s">
        <v>41</v>
      </c>
      <c r="C621">
        <v>5</v>
      </c>
      <c r="D621" s="3">
        <v>1.31</v>
      </c>
      <c r="E621" s="3">
        <v>6.55</v>
      </c>
      <c r="F621">
        <v>5</v>
      </c>
      <c r="G621">
        <v>0</v>
      </c>
      <c r="H621" s="4">
        <v>1.3</v>
      </c>
      <c r="I621" t="s">
        <v>33</v>
      </c>
      <c r="J621" t="s">
        <v>46</v>
      </c>
      <c r="L621">
        <f t="shared" si="18"/>
        <v>2019</v>
      </c>
      <c r="M621" t="str">
        <f t="shared" si="19"/>
        <v>Pre-COVID</v>
      </c>
    </row>
    <row r="622" spans="1:13" x14ac:dyDescent="0.25">
      <c r="A622" s="2">
        <v>43801</v>
      </c>
      <c r="B622" t="s">
        <v>42</v>
      </c>
      <c r="C622">
        <v>7</v>
      </c>
      <c r="D622" s="3">
        <v>4.0999999999999996</v>
      </c>
      <c r="E622" s="3">
        <v>28.7</v>
      </c>
      <c r="F622">
        <v>10</v>
      </c>
      <c r="G622">
        <v>4</v>
      </c>
      <c r="H622" s="4">
        <v>0.1</v>
      </c>
      <c r="I622" t="s">
        <v>33</v>
      </c>
      <c r="J622" t="s">
        <v>33</v>
      </c>
      <c r="L622">
        <f t="shared" si="18"/>
        <v>2019</v>
      </c>
      <c r="M622" t="str">
        <f t="shared" si="19"/>
        <v>Pre-COVID</v>
      </c>
    </row>
    <row r="623" spans="1:13" x14ac:dyDescent="0.25">
      <c r="A623" s="2">
        <v>43801</v>
      </c>
      <c r="B623" t="s">
        <v>43</v>
      </c>
      <c r="C623">
        <v>8</v>
      </c>
      <c r="D623" s="3">
        <v>5.5</v>
      </c>
      <c r="E623" s="3">
        <v>44</v>
      </c>
      <c r="F623">
        <v>12</v>
      </c>
      <c r="G623">
        <v>6</v>
      </c>
      <c r="H623" s="4">
        <v>0.8</v>
      </c>
      <c r="I623" t="s">
        <v>33</v>
      </c>
      <c r="J623" t="s">
        <v>33</v>
      </c>
      <c r="L623">
        <f t="shared" si="18"/>
        <v>2019</v>
      </c>
      <c r="M623" t="str">
        <f t="shared" si="19"/>
        <v>Pre-COVID</v>
      </c>
    </row>
    <row r="624" spans="1:13" x14ac:dyDescent="0.25">
      <c r="A624" s="2">
        <v>43801</v>
      </c>
      <c r="B624" t="s">
        <v>44</v>
      </c>
      <c r="C624">
        <v>0</v>
      </c>
      <c r="D624" s="3">
        <v>4.96</v>
      </c>
      <c r="E624" s="3">
        <v>0</v>
      </c>
      <c r="F624">
        <v>3</v>
      </c>
      <c r="G624">
        <v>3</v>
      </c>
      <c r="H624" s="4">
        <v>0</v>
      </c>
      <c r="I624" t="s">
        <v>33</v>
      </c>
      <c r="J624" t="s">
        <v>33</v>
      </c>
      <c r="L624">
        <f t="shared" si="18"/>
        <v>2019</v>
      </c>
      <c r="M624" t="str">
        <f t="shared" si="19"/>
        <v>Pre-COVID</v>
      </c>
    </row>
    <row r="625" spans="1:13" x14ac:dyDescent="0.25">
      <c r="A625" s="2">
        <v>43801</v>
      </c>
      <c r="B625" t="s">
        <v>45</v>
      </c>
      <c r="C625">
        <v>1</v>
      </c>
      <c r="D625" s="3">
        <v>15.29</v>
      </c>
      <c r="E625" s="3">
        <v>15.29</v>
      </c>
      <c r="F625">
        <v>3</v>
      </c>
      <c r="G625">
        <v>2</v>
      </c>
      <c r="H625" s="4">
        <v>0.2</v>
      </c>
      <c r="I625" t="s">
        <v>46</v>
      </c>
      <c r="J625" t="s">
        <v>46</v>
      </c>
      <c r="L625">
        <f t="shared" si="18"/>
        <v>2019</v>
      </c>
      <c r="M625" t="str">
        <f t="shared" si="19"/>
        <v>Pre-COVID</v>
      </c>
    </row>
    <row r="626" spans="1:13" x14ac:dyDescent="0.25">
      <c r="A626" s="2">
        <v>43808</v>
      </c>
      <c r="B626" t="s">
        <v>32</v>
      </c>
      <c r="C626">
        <v>19</v>
      </c>
      <c r="D626" s="3">
        <v>6.63</v>
      </c>
      <c r="E626" s="3">
        <v>125.97</v>
      </c>
      <c r="F626">
        <v>24</v>
      </c>
      <c r="G626">
        <v>7</v>
      </c>
      <c r="H626" s="4">
        <v>0.8</v>
      </c>
      <c r="I626" t="s">
        <v>33</v>
      </c>
      <c r="J626" t="s">
        <v>33</v>
      </c>
      <c r="L626">
        <f t="shared" si="18"/>
        <v>2019</v>
      </c>
      <c r="M626" t="str">
        <f t="shared" si="19"/>
        <v>Pre-COVID</v>
      </c>
    </row>
    <row r="627" spans="1:13" x14ac:dyDescent="0.25">
      <c r="A627" s="2">
        <v>43808</v>
      </c>
      <c r="B627" t="s">
        <v>34</v>
      </c>
      <c r="C627">
        <v>17</v>
      </c>
      <c r="D627" s="3">
        <v>7.28</v>
      </c>
      <c r="E627" s="3">
        <v>123.76</v>
      </c>
      <c r="F627">
        <v>23</v>
      </c>
      <c r="G627">
        <v>6</v>
      </c>
      <c r="H627" s="4">
        <v>0.3</v>
      </c>
      <c r="I627" t="s">
        <v>33</v>
      </c>
      <c r="J627" t="s">
        <v>33</v>
      </c>
      <c r="L627">
        <f t="shared" si="18"/>
        <v>2019</v>
      </c>
      <c r="M627" t="str">
        <f t="shared" si="19"/>
        <v>Pre-COVID</v>
      </c>
    </row>
    <row r="628" spans="1:13" x14ac:dyDescent="0.25">
      <c r="A628" s="2">
        <v>43808</v>
      </c>
      <c r="B628" t="s">
        <v>35</v>
      </c>
      <c r="C628">
        <v>12</v>
      </c>
      <c r="D628" s="3">
        <v>6.13</v>
      </c>
      <c r="E628" s="3">
        <v>73.56</v>
      </c>
      <c r="F628">
        <v>16</v>
      </c>
      <c r="G628">
        <v>6</v>
      </c>
      <c r="H628" s="4">
        <v>0.1</v>
      </c>
      <c r="I628" t="s">
        <v>33</v>
      </c>
      <c r="J628" t="s">
        <v>33</v>
      </c>
      <c r="L628">
        <f t="shared" si="18"/>
        <v>2019</v>
      </c>
      <c r="M628" t="str">
        <f t="shared" si="19"/>
        <v>Pre-COVID</v>
      </c>
    </row>
    <row r="629" spans="1:13" x14ac:dyDescent="0.25">
      <c r="A629" s="2">
        <v>43808</v>
      </c>
      <c r="B629" t="s">
        <v>36</v>
      </c>
      <c r="C629">
        <v>16</v>
      </c>
      <c r="D629" s="3">
        <v>6.1</v>
      </c>
      <c r="E629" s="3">
        <v>97.6</v>
      </c>
      <c r="F629">
        <v>20</v>
      </c>
      <c r="G629">
        <v>5</v>
      </c>
      <c r="H629" s="4">
        <v>2</v>
      </c>
      <c r="I629" t="s">
        <v>33</v>
      </c>
      <c r="J629" t="s">
        <v>33</v>
      </c>
      <c r="L629">
        <f t="shared" si="18"/>
        <v>2019</v>
      </c>
      <c r="M629" t="str">
        <f t="shared" si="19"/>
        <v>Pre-COVID</v>
      </c>
    </row>
    <row r="630" spans="1:13" x14ac:dyDescent="0.25">
      <c r="A630" s="2">
        <v>43808</v>
      </c>
      <c r="B630" t="s">
        <v>37</v>
      </c>
      <c r="C630">
        <v>31</v>
      </c>
      <c r="D630" s="3">
        <v>3.18</v>
      </c>
      <c r="E630" s="3">
        <v>98.58</v>
      </c>
      <c r="F630">
        <v>38</v>
      </c>
      <c r="G630">
        <v>13</v>
      </c>
      <c r="H630" s="4">
        <v>0.7</v>
      </c>
      <c r="I630" t="s">
        <v>33</v>
      </c>
      <c r="J630" t="s">
        <v>33</v>
      </c>
      <c r="L630">
        <f t="shared" si="18"/>
        <v>2019</v>
      </c>
      <c r="M630" t="str">
        <f t="shared" si="19"/>
        <v>Pre-COVID</v>
      </c>
    </row>
    <row r="631" spans="1:13" x14ac:dyDescent="0.25">
      <c r="A631" s="2">
        <v>43808</v>
      </c>
      <c r="B631" t="s">
        <v>38</v>
      </c>
      <c r="C631">
        <v>15</v>
      </c>
      <c r="D631" s="3">
        <v>8.76</v>
      </c>
      <c r="E631" s="3">
        <v>131.4</v>
      </c>
      <c r="F631">
        <v>22</v>
      </c>
      <c r="G631">
        <v>9</v>
      </c>
      <c r="H631" s="4">
        <v>0.6</v>
      </c>
      <c r="I631" t="s">
        <v>33</v>
      </c>
      <c r="J631" t="s">
        <v>33</v>
      </c>
      <c r="L631">
        <f t="shared" si="18"/>
        <v>2019</v>
      </c>
      <c r="M631" t="str">
        <f t="shared" si="19"/>
        <v>Pre-COVID</v>
      </c>
    </row>
    <row r="632" spans="1:13" x14ac:dyDescent="0.25">
      <c r="A632" s="2">
        <v>43808</v>
      </c>
      <c r="B632" t="s">
        <v>39</v>
      </c>
      <c r="C632">
        <v>15</v>
      </c>
      <c r="D632" s="3">
        <v>11.84</v>
      </c>
      <c r="E632" s="3">
        <v>177.6</v>
      </c>
      <c r="F632">
        <v>20</v>
      </c>
      <c r="G632">
        <v>8</v>
      </c>
      <c r="H632" s="4">
        <v>0.6</v>
      </c>
      <c r="I632" t="s">
        <v>33</v>
      </c>
      <c r="J632" t="s">
        <v>33</v>
      </c>
      <c r="L632">
        <f t="shared" si="18"/>
        <v>2019</v>
      </c>
      <c r="M632" t="str">
        <f t="shared" si="19"/>
        <v>Pre-COVID</v>
      </c>
    </row>
    <row r="633" spans="1:13" x14ac:dyDescent="0.25">
      <c r="A633" s="2">
        <v>43808</v>
      </c>
      <c r="B633" t="s">
        <v>40</v>
      </c>
      <c r="C633">
        <v>9</v>
      </c>
      <c r="D633" s="3">
        <v>0.65</v>
      </c>
      <c r="E633" s="3">
        <v>5.85</v>
      </c>
      <c r="F633">
        <v>12</v>
      </c>
      <c r="G633">
        <v>3</v>
      </c>
      <c r="H633" s="4">
        <v>1.4</v>
      </c>
      <c r="I633" t="s">
        <v>33</v>
      </c>
      <c r="J633" t="s">
        <v>33</v>
      </c>
      <c r="L633">
        <f t="shared" si="18"/>
        <v>2019</v>
      </c>
      <c r="M633" t="str">
        <f t="shared" si="19"/>
        <v>Pre-COVID</v>
      </c>
    </row>
    <row r="634" spans="1:13" x14ac:dyDescent="0.25">
      <c r="A634" s="2">
        <v>43808</v>
      </c>
      <c r="B634" t="s">
        <v>41</v>
      </c>
      <c r="C634">
        <v>7</v>
      </c>
      <c r="D634" s="3">
        <v>1.42</v>
      </c>
      <c r="E634" s="3">
        <v>9.94</v>
      </c>
      <c r="F634">
        <v>7</v>
      </c>
      <c r="G634">
        <v>0</v>
      </c>
      <c r="H634" s="4">
        <v>0</v>
      </c>
      <c r="I634" t="s">
        <v>33</v>
      </c>
      <c r="J634" t="s">
        <v>33</v>
      </c>
      <c r="L634">
        <f t="shared" si="18"/>
        <v>2019</v>
      </c>
      <c r="M634" t="str">
        <f t="shared" si="19"/>
        <v>Pre-COVID</v>
      </c>
    </row>
    <row r="635" spans="1:13" x14ac:dyDescent="0.25">
      <c r="A635" s="2">
        <v>43808</v>
      </c>
      <c r="B635" t="s">
        <v>42</v>
      </c>
      <c r="C635">
        <v>8</v>
      </c>
      <c r="D635" s="3">
        <v>4.08</v>
      </c>
      <c r="E635" s="3">
        <v>32.64</v>
      </c>
      <c r="F635">
        <v>9</v>
      </c>
      <c r="G635">
        <v>2</v>
      </c>
      <c r="H635" s="4">
        <v>0.8</v>
      </c>
      <c r="I635" t="s">
        <v>33</v>
      </c>
      <c r="J635" t="s">
        <v>33</v>
      </c>
      <c r="L635">
        <f t="shared" si="18"/>
        <v>2019</v>
      </c>
      <c r="M635" t="str">
        <f t="shared" si="19"/>
        <v>Pre-COVID</v>
      </c>
    </row>
    <row r="636" spans="1:13" x14ac:dyDescent="0.25">
      <c r="A636" s="2">
        <v>43808</v>
      </c>
      <c r="B636" t="s">
        <v>43</v>
      </c>
      <c r="C636">
        <v>3</v>
      </c>
      <c r="D636" s="3">
        <v>5.33</v>
      </c>
      <c r="E636" s="3">
        <v>15.99</v>
      </c>
      <c r="F636">
        <v>4</v>
      </c>
      <c r="G636">
        <v>1</v>
      </c>
      <c r="H636" s="4">
        <v>1.4</v>
      </c>
      <c r="I636" t="s">
        <v>33</v>
      </c>
      <c r="J636" t="s">
        <v>33</v>
      </c>
      <c r="L636">
        <f t="shared" si="18"/>
        <v>2019</v>
      </c>
      <c r="M636" t="str">
        <f t="shared" si="19"/>
        <v>Pre-COVID</v>
      </c>
    </row>
    <row r="637" spans="1:13" x14ac:dyDescent="0.25">
      <c r="A637" s="2">
        <v>43808</v>
      </c>
      <c r="B637" t="s">
        <v>44</v>
      </c>
      <c r="C637">
        <v>1</v>
      </c>
      <c r="D637" s="3">
        <v>4.82</v>
      </c>
      <c r="E637" s="3">
        <v>4.82</v>
      </c>
      <c r="F637">
        <v>3</v>
      </c>
      <c r="G637">
        <v>2</v>
      </c>
      <c r="H637" s="4">
        <v>0.5</v>
      </c>
      <c r="I637" t="s">
        <v>46</v>
      </c>
      <c r="J637" t="s">
        <v>33</v>
      </c>
      <c r="K637" t="s">
        <v>47</v>
      </c>
      <c r="L637">
        <f t="shared" si="18"/>
        <v>2019</v>
      </c>
      <c r="M637" t="str">
        <f t="shared" si="19"/>
        <v>Pre-COVID</v>
      </c>
    </row>
    <row r="638" spans="1:13" x14ac:dyDescent="0.25">
      <c r="A638" s="2">
        <v>43808</v>
      </c>
      <c r="B638" t="s">
        <v>45</v>
      </c>
      <c r="C638">
        <v>0</v>
      </c>
      <c r="D638" s="3">
        <v>15.16</v>
      </c>
      <c r="E638" s="3">
        <v>0</v>
      </c>
      <c r="F638">
        <v>3</v>
      </c>
      <c r="G638">
        <v>3</v>
      </c>
      <c r="H638" s="4">
        <v>0</v>
      </c>
      <c r="I638" t="s">
        <v>33</v>
      </c>
      <c r="J638" t="s">
        <v>33</v>
      </c>
      <c r="L638">
        <f t="shared" si="18"/>
        <v>2019</v>
      </c>
      <c r="M638" t="str">
        <f t="shared" si="19"/>
        <v>Pre-COVID</v>
      </c>
    </row>
    <row r="639" spans="1:13" x14ac:dyDescent="0.25">
      <c r="A639" s="2">
        <v>43815</v>
      </c>
      <c r="B639" t="s">
        <v>32</v>
      </c>
      <c r="C639">
        <v>28</v>
      </c>
      <c r="D639" s="3">
        <v>7.09</v>
      </c>
      <c r="E639" s="3">
        <v>198.52</v>
      </c>
      <c r="F639">
        <v>32</v>
      </c>
      <c r="G639">
        <v>7</v>
      </c>
      <c r="H639" s="4">
        <v>1.2</v>
      </c>
      <c r="I639" t="s">
        <v>33</v>
      </c>
      <c r="J639" t="s">
        <v>33</v>
      </c>
      <c r="L639">
        <f t="shared" si="18"/>
        <v>2019</v>
      </c>
      <c r="M639" t="str">
        <f t="shared" si="19"/>
        <v>Pre-COVID</v>
      </c>
    </row>
    <row r="640" spans="1:13" x14ac:dyDescent="0.25">
      <c r="A640" s="2">
        <v>43815</v>
      </c>
      <c r="B640" t="s">
        <v>34</v>
      </c>
      <c r="C640">
        <v>18</v>
      </c>
      <c r="D640" s="3">
        <v>7.04</v>
      </c>
      <c r="E640" s="3">
        <v>126.72</v>
      </c>
      <c r="F640">
        <v>23</v>
      </c>
      <c r="G640">
        <v>8</v>
      </c>
      <c r="H640" s="4">
        <v>0.8</v>
      </c>
      <c r="I640" t="s">
        <v>33</v>
      </c>
      <c r="J640" t="s">
        <v>33</v>
      </c>
      <c r="L640">
        <f t="shared" si="18"/>
        <v>2019</v>
      </c>
      <c r="M640" t="str">
        <f t="shared" si="19"/>
        <v>Pre-COVID</v>
      </c>
    </row>
    <row r="641" spans="1:13" x14ac:dyDescent="0.25">
      <c r="A641" s="2">
        <v>43815</v>
      </c>
      <c r="B641" t="s">
        <v>35</v>
      </c>
      <c r="C641">
        <v>10</v>
      </c>
      <c r="D641" s="3">
        <v>5.71</v>
      </c>
      <c r="E641" s="3">
        <v>57.1</v>
      </c>
      <c r="F641">
        <v>11</v>
      </c>
      <c r="G641">
        <v>1</v>
      </c>
      <c r="H641" s="4">
        <v>1</v>
      </c>
      <c r="I641" t="s">
        <v>33</v>
      </c>
      <c r="J641" t="s">
        <v>33</v>
      </c>
      <c r="L641">
        <f t="shared" si="18"/>
        <v>2019</v>
      </c>
      <c r="M641" t="str">
        <f t="shared" si="19"/>
        <v>Pre-COVID</v>
      </c>
    </row>
    <row r="642" spans="1:13" x14ac:dyDescent="0.25">
      <c r="A642" s="2">
        <v>43815</v>
      </c>
      <c r="B642" t="s">
        <v>36</v>
      </c>
      <c r="C642">
        <v>8</v>
      </c>
      <c r="D642" s="3">
        <v>6.41</v>
      </c>
      <c r="E642" s="3">
        <v>51.28</v>
      </c>
      <c r="F642">
        <v>11</v>
      </c>
      <c r="G642">
        <v>4</v>
      </c>
      <c r="H642" s="4">
        <v>1.1000000000000001</v>
      </c>
      <c r="I642" t="s">
        <v>33</v>
      </c>
      <c r="J642" t="s">
        <v>33</v>
      </c>
      <c r="L642">
        <f t="shared" ref="L642:L705" si="20">YEAR(A642)</f>
        <v>2019</v>
      </c>
      <c r="M642" t="str">
        <f t="shared" ref="M642:M705" si="21">IF(L642=2019,"Pre-COVID","COVID Period")</f>
        <v>Pre-COVID</v>
      </c>
    </row>
    <row r="643" spans="1:13" x14ac:dyDescent="0.25">
      <c r="A643" s="2">
        <v>43815</v>
      </c>
      <c r="B643" t="s">
        <v>37</v>
      </c>
      <c r="C643">
        <v>34</v>
      </c>
      <c r="D643" s="3">
        <v>3.2</v>
      </c>
      <c r="E643" s="3">
        <v>108.8</v>
      </c>
      <c r="F643">
        <v>49</v>
      </c>
      <c r="G643">
        <v>21</v>
      </c>
      <c r="H643" s="4">
        <v>1.3</v>
      </c>
      <c r="I643" t="s">
        <v>33</v>
      </c>
      <c r="J643" t="s">
        <v>33</v>
      </c>
      <c r="L643">
        <f t="shared" si="20"/>
        <v>2019</v>
      </c>
      <c r="M643" t="str">
        <f t="shared" si="21"/>
        <v>Pre-COVID</v>
      </c>
    </row>
    <row r="644" spans="1:13" x14ac:dyDescent="0.25">
      <c r="A644" s="2">
        <v>43815</v>
      </c>
      <c r="B644" t="s">
        <v>38</v>
      </c>
      <c r="C644">
        <v>25</v>
      </c>
      <c r="D644" s="3">
        <v>8.5299999999999994</v>
      </c>
      <c r="E644" s="3">
        <v>213.25</v>
      </c>
      <c r="F644">
        <v>30</v>
      </c>
      <c r="G644">
        <v>7</v>
      </c>
      <c r="H644" s="4">
        <v>0</v>
      </c>
      <c r="I644" t="s">
        <v>46</v>
      </c>
      <c r="J644" t="s">
        <v>33</v>
      </c>
      <c r="L644">
        <f t="shared" si="20"/>
        <v>2019</v>
      </c>
      <c r="M644" t="str">
        <f t="shared" si="21"/>
        <v>Pre-COVID</v>
      </c>
    </row>
    <row r="645" spans="1:13" x14ac:dyDescent="0.25">
      <c r="A645" s="2">
        <v>43815</v>
      </c>
      <c r="B645" t="s">
        <v>39</v>
      </c>
      <c r="C645">
        <v>19</v>
      </c>
      <c r="D645" s="3">
        <v>11.09</v>
      </c>
      <c r="E645" s="3">
        <v>210.71</v>
      </c>
      <c r="F645">
        <v>28</v>
      </c>
      <c r="G645">
        <v>13</v>
      </c>
      <c r="H645" s="4">
        <v>0.3</v>
      </c>
      <c r="I645" t="s">
        <v>33</v>
      </c>
      <c r="J645" t="s">
        <v>33</v>
      </c>
      <c r="L645">
        <f t="shared" si="20"/>
        <v>2019</v>
      </c>
      <c r="M645" t="str">
        <f t="shared" si="21"/>
        <v>Pre-COVID</v>
      </c>
    </row>
    <row r="646" spans="1:13" x14ac:dyDescent="0.25">
      <c r="A646" s="2">
        <v>43815</v>
      </c>
      <c r="B646" t="s">
        <v>40</v>
      </c>
      <c r="C646">
        <v>7</v>
      </c>
      <c r="D646" s="3">
        <v>0.65</v>
      </c>
      <c r="E646" s="3">
        <v>4.55</v>
      </c>
      <c r="F646">
        <v>8</v>
      </c>
      <c r="G646">
        <v>2</v>
      </c>
      <c r="H646" s="4">
        <v>1.3</v>
      </c>
      <c r="I646" t="s">
        <v>33</v>
      </c>
      <c r="J646" t="s">
        <v>46</v>
      </c>
      <c r="L646">
        <f t="shared" si="20"/>
        <v>2019</v>
      </c>
      <c r="M646" t="str">
        <f t="shared" si="21"/>
        <v>Pre-COVID</v>
      </c>
    </row>
    <row r="647" spans="1:13" x14ac:dyDescent="0.25">
      <c r="A647" s="2">
        <v>43815</v>
      </c>
      <c r="B647" t="s">
        <v>41</v>
      </c>
      <c r="C647">
        <v>8</v>
      </c>
      <c r="D647" s="3">
        <v>1.39</v>
      </c>
      <c r="E647" s="3">
        <v>11.12</v>
      </c>
      <c r="F647">
        <v>13</v>
      </c>
      <c r="G647">
        <v>6</v>
      </c>
      <c r="H647" s="4">
        <v>0.9</v>
      </c>
      <c r="I647" t="s">
        <v>33</v>
      </c>
      <c r="J647" t="s">
        <v>33</v>
      </c>
      <c r="L647">
        <f t="shared" si="20"/>
        <v>2019</v>
      </c>
      <c r="M647" t="str">
        <f t="shared" si="21"/>
        <v>Pre-COVID</v>
      </c>
    </row>
    <row r="648" spans="1:13" x14ac:dyDescent="0.25">
      <c r="A648" s="2">
        <v>43815</v>
      </c>
      <c r="B648" t="s">
        <v>42</v>
      </c>
      <c r="C648">
        <v>8</v>
      </c>
      <c r="D648" s="3">
        <v>4.04</v>
      </c>
      <c r="E648" s="3">
        <v>32.32</v>
      </c>
      <c r="F648">
        <v>10</v>
      </c>
      <c r="G648">
        <v>4</v>
      </c>
      <c r="H648" s="4">
        <v>1.3</v>
      </c>
      <c r="I648" t="s">
        <v>33</v>
      </c>
      <c r="J648" t="s">
        <v>33</v>
      </c>
      <c r="L648">
        <f t="shared" si="20"/>
        <v>2019</v>
      </c>
      <c r="M648" t="str">
        <f t="shared" si="21"/>
        <v>Pre-COVID</v>
      </c>
    </row>
    <row r="649" spans="1:13" x14ac:dyDescent="0.25">
      <c r="A649" s="2">
        <v>43815</v>
      </c>
      <c r="B649" t="s">
        <v>43</v>
      </c>
      <c r="C649">
        <v>6</v>
      </c>
      <c r="D649" s="3">
        <v>5.65</v>
      </c>
      <c r="E649" s="3">
        <v>33.9</v>
      </c>
      <c r="F649">
        <v>8</v>
      </c>
      <c r="G649">
        <v>3</v>
      </c>
      <c r="H649" s="4">
        <v>0.9</v>
      </c>
      <c r="I649" t="s">
        <v>33</v>
      </c>
      <c r="J649" t="s">
        <v>33</v>
      </c>
      <c r="L649">
        <f t="shared" si="20"/>
        <v>2019</v>
      </c>
      <c r="M649" t="str">
        <f t="shared" si="21"/>
        <v>Pre-COVID</v>
      </c>
    </row>
    <row r="650" spans="1:13" x14ac:dyDescent="0.25">
      <c r="A650" s="2">
        <v>43815</v>
      </c>
      <c r="B650" t="s">
        <v>44</v>
      </c>
      <c r="C650">
        <v>0</v>
      </c>
      <c r="D650" s="3">
        <v>4.8899999999999997</v>
      </c>
      <c r="E650" s="3">
        <v>0</v>
      </c>
      <c r="F650">
        <v>3</v>
      </c>
      <c r="G650">
        <v>3</v>
      </c>
      <c r="H650" s="4">
        <v>0.1</v>
      </c>
      <c r="I650" t="s">
        <v>33</v>
      </c>
      <c r="J650" t="s">
        <v>33</v>
      </c>
      <c r="L650">
        <f t="shared" si="20"/>
        <v>2019</v>
      </c>
      <c r="M650" t="str">
        <f t="shared" si="21"/>
        <v>Pre-COVID</v>
      </c>
    </row>
    <row r="651" spans="1:13" x14ac:dyDescent="0.25">
      <c r="A651" s="2">
        <v>43815</v>
      </c>
      <c r="B651" t="s">
        <v>45</v>
      </c>
      <c r="C651">
        <v>0</v>
      </c>
      <c r="D651" s="3">
        <v>14.54</v>
      </c>
      <c r="E651" s="3">
        <v>0</v>
      </c>
      <c r="F651">
        <v>3</v>
      </c>
      <c r="G651">
        <v>3</v>
      </c>
      <c r="H651" s="4">
        <v>0.8</v>
      </c>
      <c r="I651" t="s">
        <v>33</v>
      </c>
      <c r="J651" t="s">
        <v>33</v>
      </c>
      <c r="L651">
        <f t="shared" si="20"/>
        <v>2019</v>
      </c>
      <c r="M651" t="str">
        <f t="shared" si="21"/>
        <v>Pre-COVID</v>
      </c>
    </row>
    <row r="652" spans="1:13" x14ac:dyDescent="0.25">
      <c r="A652" s="2">
        <v>43822</v>
      </c>
      <c r="B652" t="s">
        <v>32</v>
      </c>
      <c r="C652">
        <v>25</v>
      </c>
      <c r="D652" s="3">
        <v>7.07</v>
      </c>
      <c r="E652" s="3">
        <v>176.75</v>
      </c>
      <c r="F652">
        <v>40</v>
      </c>
      <c r="G652">
        <v>17</v>
      </c>
      <c r="H652" s="4">
        <v>0.4</v>
      </c>
      <c r="I652" t="s">
        <v>33</v>
      </c>
      <c r="J652" t="s">
        <v>33</v>
      </c>
      <c r="L652">
        <f t="shared" si="20"/>
        <v>2019</v>
      </c>
      <c r="M652" t="str">
        <f t="shared" si="21"/>
        <v>Pre-COVID</v>
      </c>
    </row>
    <row r="653" spans="1:13" x14ac:dyDescent="0.25">
      <c r="A653" s="2">
        <v>43822</v>
      </c>
      <c r="B653" t="s">
        <v>34</v>
      </c>
      <c r="C653">
        <v>16</v>
      </c>
      <c r="D653" s="3">
        <v>7.27</v>
      </c>
      <c r="E653" s="3">
        <v>116.32</v>
      </c>
      <c r="F653">
        <v>17</v>
      </c>
      <c r="G653">
        <v>1</v>
      </c>
      <c r="H653" s="4">
        <v>0</v>
      </c>
      <c r="I653" t="s">
        <v>33</v>
      </c>
      <c r="J653" t="s">
        <v>33</v>
      </c>
      <c r="L653">
        <f t="shared" si="20"/>
        <v>2019</v>
      </c>
      <c r="M653" t="str">
        <f t="shared" si="21"/>
        <v>Pre-COVID</v>
      </c>
    </row>
    <row r="654" spans="1:13" x14ac:dyDescent="0.25">
      <c r="A654" s="2">
        <v>43822</v>
      </c>
      <c r="B654" t="s">
        <v>35</v>
      </c>
      <c r="C654">
        <v>14</v>
      </c>
      <c r="D654" s="3">
        <v>5.86</v>
      </c>
      <c r="E654" s="3">
        <v>82.04</v>
      </c>
      <c r="F654">
        <v>16</v>
      </c>
      <c r="G654">
        <v>5</v>
      </c>
      <c r="H654" s="4">
        <v>0.5</v>
      </c>
      <c r="I654" t="s">
        <v>33</v>
      </c>
      <c r="J654" t="s">
        <v>33</v>
      </c>
      <c r="L654">
        <f t="shared" si="20"/>
        <v>2019</v>
      </c>
      <c r="M654" t="str">
        <f t="shared" si="21"/>
        <v>Pre-COVID</v>
      </c>
    </row>
    <row r="655" spans="1:13" x14ac:dyDescent="0.25">
      <c r="A655" s="2">
        <v>43822</v>
      </c>
      <c r="B655" t="s">
        <v>36</v>
      </c>
      <c r="C655">
        <v>16</v>
      </c>
      <c r="D655" s="3">
        <v>6.13</v>
      </c>
      <c r="E655" s="3">
        <v>98.08</v>
      </c>
      <c r="F655">
        <v>24</v>
      </c>
      <c r="G655">
        <v>12</v>
      </c>
      <c r="H655" s="4">
        <v>1</v>
      </c>
      <c r="I655" t="s">
        <v>33</v>
      </c>
      <c r="J655" t="s">
        <v>33</v>
      </c>
      <c r="L655">
        <f t="shared" si="20"/>
        <v>2019</v>
      </c>
      <c r="M655" t="str">
        <f t="shared" si="21"/>
        <v>Pre-COVID</v>
      </c>
    </row>
    <row r="656" spans="1:13" x14ac:dyDescent="0.25">
      <c r="A656" s="2">
        <v>43822</v>
      </c>
      <c r="B656" t="s">
        <v>37</v>
      </c>
      <c r="C656">
        <v>36</v>
      </c>
      <c r="D656" s="3">
        <v>3.25</v>
      </c>
      <c r="E656" s="3">
        <v>117</v>
      </c>
      <c r="F656">
        <v>40</v>
      </c>
      <c r="G656">
        <v>8</v>
      </c>
      <c r="H656" s="4">
        <v>1.2</v>
      </c>
      <c r="I656" t="s">
        <v>33</v>
      </c>
      <c r="J656" t="s">
        <v>33</v>
      </c>
      <c r="L656">
        <f t="shared" si="20"/>
        <v>2019</v>
      </c>
      <c r="M656" t="str">
        <f t="shared" si="21"/>
        <v>Pre-COVID</v>
      </c>
    </row>
    <row r="657" spans="1:13" x14ac:dyDescent="0.25">
      <c r="A657" s="2">
        <v>43822</v>
      </c>
      <c r="B657" t="s">
        <v>38</v>
      </c>
      <c r="C657">
        <v>15</v>
      </c>
      <c r="D657" s="3">
        <v>8.3000000000000007</v>
      </c>
      <c r="E657" s="3">
        <v>124.5</v>
      </c>
      <c r="F657">
        <v>21</v>
      </c>
      <c r="G657">
        <v>7</v>
      </c>
      <c r="H657" s="4">
        <v>1.7</v>
      </c>
      <c r="I657" t="s">
        <v>33</v>
      </c>
      <c r="J657" t="s">
        <v>33</v>
      </c>
      <c r="L657">
        <f t="shared" si="20"/>
        <v>2019</v>
      </c>
      <c r="M657" t="str">
        <f t="shared" si="21"/>
        <v>Pre-COVID</v>
      </c>
    </row>
    <row r="658" spans="1:13" x14ac:dyDescent="0.25">
      <c r="A658" s="2">
        <v>43822</v>
      </c>
      <c r="B658" t="s">
        <v>39</v>
      </c>
      <c r="C658">
        <v>30</v>
      </c>
      <c r="D658" s="3">
        <v>11.86</v>
      </c>
      <c r="E658" s="3">
        <v>355.8</v>
      </c>
      <c r="F658">
        <v>40</v>
      </c>
      <c r="G658">
        <v>10</v>
      </c>
      <c r="H658" s="4">
        <v>0.9</v>
      </c>
      <c r="I658" t="s">
        <v>33</v>
      </c>
      <c r="J658" t="s">
        <v>33</v>
      </c>
      <c r="L658">
        <f t="shared" si="20"/>
        <v>2019</v>
      </c>
      <c r="M658" t="str">
        <f t="shared" si="21"/>
        <v>Pre-COVID</v>
      </c>
    </row>
    <row r="659" spans="1:13" x14ac:dyDescent="0.25">
      <c r="A659" s="2">
        <v>43822</v>
      </c>
      <c r="B659" t="s">
        <v>40</v>
      </c>
      <c r="C659">
        <v>11</v>
      </c>
      <c r="D659" s="3">
        <v>0.64</v>
      </c>
      <c r="E659" s="3">
        <v>7.04</v>
      </c>
      <c r="F659">
        <v>11</v>
      </c>
      <c r="G659">
        <v>1</v>
      </c>
      <c r="H659" s="4">
        <v>1.3</v>
      </c>
      <c r="I659" t="s">
        <v>33</v>
      </c>
      <c r="J659" t="s">
        <v>46</v>
      </c>
      <c r="L659">
        <f t="shared" si="20"/>
        <v>2019</v>
      </c>
      <c r="M659" t="str">
        <f t="shared" si="21"/>
        <v>Pre-COVID</v>
      </c>
    </row>
    <row r="660" spans="1:13" x14ac:dyDescent="0.25">
      <c r="A660" s="2">
        <v>43822</v>
      </c>
      <c r="B660" t="s">
        <v>41</v>
      </c>
      <c r="C660">
        <v>3</v>
      </c>
      <c r="D660" s="3">
        <v>1.4</v>
      </c>
      <c r="E660" s="3">
        <v>4.2</v>
      </c>
      <c r="F660">
        <v>4</v>
      </c>
      <c r="G660">
        <v>1</v>
      </c>
      <c r="H660" s="4">
        <v>0</v>
      </c>
      <c r="I660" t="s">
        <v>33</v>
      </c>
      <c r="J660" t="s">
        <v>33</v>
      </c>
      <c r="L660">
        <f t="shared" si="20"/>
        <v>2019</v>
      </c>
      <c r="M660" t="str">
        <f t="shared" si="21"/>
        <v>Pre-COVID</v>
      </c>
    </row>
    <row r="661" spans="1:13" x14ac:dyDescent="0.25">
      <c r="A661" s="2">
        <v>43822</v>
      </c>
      <c r="B661" t="s">
        <v>42</v>
      </c>
      <c r="C661">
        <v>8</v>
      </c>
      <c r="D661" s="3">
        <v>4.03</v>
      </c>
      <c r="E661" s="3">
        <v>32.24</v>
      </c>
      <c r="F661">
        <v>11</v>
      </c>
      <c r="G661">
        <v>4</v>
      </c>
      <c r="H661" s="4">
        <v>0.2</v>
      </c>
      <c r="I661" t="s">
        <v>33</v>
      </c>
      <c r="J661" t="s">
        <v>33</v>
      </c>
      <c r="L661">
        <f t="shared" si="20"/>
        <v>2019</v>
      </c>
      <c r="M661" t="str">
        <f t="shared" si="21"/>
        <v>Pre-COVID</v>
      </c>
    </row>
    <row r="662" spans="1:13" x14ac:dyDescent="0.25">
      <c r="A662" s="2">
        <v>43822</v>
      </c>
      <c r="B662" t="s">
        <v>43</v>
      </c>
      <c r="C662">
        <v>4</v>
      </c>
      <c r="D662" s="3">
        <v>5.59</v>
      </c>
      <c r="E662" s="3">
        <v>22.36</v>
      </c>
      <c r="F662">
        <v>4</v>
      </c>
      <c r="G662">
        <v>0</v>
      </c>
      <c r="H662" s="4">
        <v>0.2</v>
      </c>
      <c r="I662" t="s">
        <v>33</v>
      </c>
      <c r="J662" t="s">
        <v>33</v>
      </c>
      <c r="L662">
        <f t="shared" si="20"/>
        <v>2019</v>
      </c>
      <c r="M662" t="str">
        <f t="shared" si="21"/>
        <v>Pre-COVID</v>
      </c>
    </row>
    <row r="663" spans="1:13" x14ac:dyDescent="0.25">
      <c r="A663" s="2">
        <v>43822</v>
      </c>
      <c r="B663" t="s">
        <v>44</v>
      </c>
      <c r="C663">
        <v>0</v>
      </c>
      <c r="D663" s="3">
        <v>4.71</v>
      </c>
      <c r="E663" s="3">
        <v>0</v>
      </c>
      <c r="F663">
        <v>3</v>
      </c>
      <c r="G663">
        <v>3</v>
      </c>
      <c r="H663" s="4">
        <v>0.9</v>
      </c>
      <c r="I663" t="s">
        <v>33</v>
      </c>
      <c r="J663" t="s">
        <v>33</v>
      </c>
      <c r="L663">
        <f t="shared" si="20"/>
        <v>2019</v>
      </c>
      <c r="M663" t="str">
        <f t="shared" si="21"/>
        <v>Pre-COVID</v>
      </c>
    </row>
    <row r="664" spans="1:13" x14ac:dyDescent="0.25">
      <c r="A664" s="2">
        <v>43822</v>
      </c>
      <c r="B664" t="s">
        <v>45</v>
      </c>
      <c r="C664">
        <v>0</v>
      </c>
      <c r="D664" s="3">
        <v>15.28</v>
      </c>
      <c r="E664" s="3">
        <v>0</v>
      </c>
      <c r="F664">
        <v>3</v>
      </c>
      <c r="G664">
        <v>3</v>
      </c>
      <c r="H664" s="4">
        <v>0.3</v>
      </c>
      <c r="I664" t="s">
        <v>33</v>
      </c>
      <c r="J664" t="s">
        <v>33</v>
      </c>
      <c r="L664">
        <f t="shared" si="20"/>
        <v>2019</v>
      </c>
      <c r="M664" t="str">
        <f t="shared" si="21"/>
        <v>Pre-COVID</v>
      </c>
    </row>
    <row r="665" spans="1:13" x14ac:dyDescent="0.25">
      <c r="A665" s="2">
        <v>43829</v>
      </c>
      <c r="B665" t="s">
        <v>32</v>
      </c>
      <c r="C665">
        <v>22</v>
      </c>
      <c r="D665" s="3">
        <v>7</v>
      </c>
      <c r="E665" s="3">
        <v>154</v>
      </c>
      <c r="F665">
        <v>34</v>
      </c>
      <c r="G665">
        <v>17</v>
      </c>
      <c r="H665" s="4">
        <v>1.1000000000000001</v>
      </c>
      <c r="I665" t="s">
        <v>33</v>
      </c>
      <c r="J665" t="s">
        <v>33</v>
      </c>
      <c r="L665">
        <f t="shared" si="20"/>
        <v>2019</v>
      </c>
      <c r="M665" t="str">
        <f t="shared" si="21"/>
        <v>Pre-COVID</v>
      </c>
    </row>
    <row r="666" spans="1:13" x14ac:dyDescent="0.25">
      <c r="A666" s="2">
        <v>43829</v>
      </c>
      <c r="B666" t="s">
        <v>34</v>
      </c>
      <c r="C666">
        <v>18</v>
      </c>
      <c r="D666" s="3">
        <v>7.04</v>
      </c>
      <c r="E666" s="3">
        <v>126.72</v>
      </c>
      <c r="F666">
        <v>25</v>
      </c>
      <c r="G666">
        <v>7</v>
      </c>
      <c r="H666" s="4">
        <v>0.7</v>
      </c>
      <c r="I666" t="s">
        <v>33</v>
      </c>
      <c r="J666" t="s">
        <v>33</v>
      </c>
      <c r="L666">
        <f t="shared" si="20"/>
        <v>2019</v>
      </c>
      <c r="M666" t="str">
        <f t="shared" si="21"/>
        <v>Pre-COVID</v>
      </c>
    </row>
    <row r="667" spans="1:13" x14ac:dyDescent="0.25">
      <c r="A667" s="2">
        <v>43829</v>
      </c>
      <c r="B667" t="s">
        <v>35</v>
      </c>
      <c r="C667">
        <v>11</v>
      </c>
      <c r="D667" s="3">
        <v>6.08</v>
      </c>
      <c r="E667" s="3">
        <v>66.88</v>
      </c>
      <c r="F667">
        <v>14</v>
      </c>
      <c r="G667">
        <v>3</v>
      </c>
      <c r="H667" s="4">
        <v>1.3</v>
      </c>
      <c r="I667" t="s">
        <v>33</v>
      </c>
      <c r="J667" t="s">
        <v>33</v>
      </c>
      <c r="L667">
        <f t="shared" si="20"/>
        <v>2019</v>
      </c>
      <c r="M667" t="str">
        <f t="shared" si="21"/>
        <v>Pre-COVID</v>
      </c>
    </row>
    <row r="668" spans="1:13" x14ac:dyDescent="0.25">
      <c r="A668" s="2">
        <v>43829</v>
      </c>
      <c r="B668" t="s">
        <v>36</v>
      </c>
      <c r="C668">
        <v>8</v>
      </c>
      <c r="D668" s="3">
        <v>5.97</v>
      </c>
      <c r="E668" s="3">
        <v>47.76</v>
      </c>
      <c r="F668">
        <v>10</v>
      </c>
      <c r="G668">
        <v>3</v>
      </c>
      <c r="H668" s="4">
        <v>0.7</v>
      </c>
      <c r="I668" t="s">
        <v>33</v>
      </c>
      <c r="J668" t="s">
        <v>33</v>
      </c>
      <c r="L668">
        <f t="shared" si="20"/>
        <v>2019</v>
      </c>
      <c r="M668" t="str">
        <f t="shared" si="21"/>
        <v>Pre-COVID</v>
      </c>
    </row>
    <row r="669" spans="1:13" x14ac:dyDescent="0.25">
      <c r="A669" s="2">
        <v>43829</v>
      </c>
      <c r="B669" t="s">
        <v>37</v>
      </c>
      <c r="C669">
        <v>35</v>
      </c>
      <c r="D669" s="3">
        <v>3.1</v>
      </c>
      <c r="E669" s="3">
        <v>108.5</v>
      </c>
      <c r="F669">
        <v>51</v>
      </c>
      <c r="G669">
        <v>23</v>
      </c>
      <c r="H669" s="4">
        <v>0.8</v>
      </c>
      <c r="I669" t="s">
        <v>33</v>
      </c>
      <c r="J669" t="s">
        <v>33</v>
      </c>
      <c r="L669">
        <f t="shared" si="20"/>
        <v>2019</v>
      </c>
      <c r="M669" t="str">
        <f t="shared" si="21"/>
        <v>Pre-COVID</v>
      </c>
    </row>
    <row r="670" spans="1:13" x14ac:dyDescent="0.25">
      <c r="A670" s="2">
        <v>43829</v>
      </c>
      <c r="B670" t="s">
        <v>38</v>
      </c>
      <c r="C670">
        <v>22</v>
      </c>
      <c r="D670" s="3">
        <v>8.19</v>
      </c>
      <c r="E670" s="3">
        <v>180.18</v>
      </c>
      <c r="F670">
        <v>26</v>
      </c>
      <c r="G670">
        <v>8</v>
      </c>
      <c r="H670" s="4">
        <v>0.5</v>
      </c>
      <c r="I670" t="s">
        <v>33</v>
      </c>
      <c r="J670" t="s">
        <v>33</v>
      </c>
      <c r="L670">
        <f t="shared" si="20"/>
        <v>2019</v>
      </c>
      <c r="M670" t="str">
        <f t="shared" si="21"/>
        <v>Pre-COVID</v>
      </c>
    </row>
    <row r="671" spans="1:13" x14ac:dyDescent="0.25">
      <c r="A671" s="2">
        <v>43829</v>
      </c>
      <c r="B671" t="s">
        <v>39</v>
      </c>
      <c r="C671">
        <v>28</v>
      </c>
      <c r="D671" s="3">
        <v>11.74</v>
      </c>
      <c r="E671" s="3">
        <v>328.72</v>
      </c>
      <c r="F671">
        <v>35</v>
      </c>
      <c r="G671">
        <v>8</v>
      </c>
      <c r="H671" s="4">
        <v>1.2</v>
      </c>
      <c r="I671" t="s">
        <v>33</v>
      </c>
      <c r="J671" t="s">
        <v>33</v>
      </c>
      <c r="L671">
        <f t="shared" si="20"/>
        <v>2019</v>
      </c>
      <c r="M671" t="str">
        <f t="shared" si="21"/>
        <v>Pre-COVID</v>
      </c>
    </row>
    <row r="672" spans="1:13" x14ac:dyDescent="0.25">
      <c r="A672" s="2">
        <v>43829</v>
      </c>
      <c r="B672" t="s">
        <v>40</v>
      </c>
      <c r="C672">
        <v>8</v>
      </c>
      <c r="D672" s="3">
        <v>0.64</v>
      </c>
      <c r="E672" s="3">
        <v>5.12</v>
      </c>
      <c r="F672">
        <v>12</v>
      </c>
      <c r="G672">
        <v>5</v>
      </c>
      <c r="H672" s="4">
        <v>0.3</v>
      </c>
      <c r="I672" t="s">
        <v>33</v>
      </c>
      <c r="J672" t="s">
        <v>33</v>
      </c>
      <c r="L672">
        <f t="shared" si="20"/>
        <v>2019</v>
      </c>
      <c r="M672" t="str">
        <f t="shared" si="21"/>
        <v>Pre-COVID</v>
      </c>
    </row>
    <row r="673" spans="1:13" x14ac:dyDescent="0.25">
      <c r="A673" s="2">
        <v>43829</v>
      </c>
      <c r="B673" t="s">
        <v>41</v>
      </c>
      <c r="C673">
        <v>7</v>
      </c>
      <c r="D673" s="3">
        <v>1.35</v>
      </c>
      <c r="E673" s="3">
        <v>9.4499999999999993</v>
      </c>
      <c r="F673">
        <v>9</v>
      </c>
      <c r="G673">
        <v>3</v>
      </c>
      <c r="H673" s="4">
        <v>0.9</v>
      </c>
      <c r="I673" t="s">
        <v>33</v>
      </c>
      <c r="J673" t="s">
        <v>33</v>
      </c>
      <c r="L673">
        <f t="shared" si="20"/>
        <v>2019</v>
      </c>
      <c r="M673" t="str">
        <f t="shared" si="21"/>
        <v>Pre-COVID</v>
      </c>
    </row>
    <row r="674" spans="1:13" x14ac:dyDescent="0.25">
      <c r="A674" s="2">
        <v>43829</v>
      </c>
      <c r="B674" t="s">
        <v>42</v>
      </c>
      <c r="C674">
        <v>8</v>
      </c>
      <c r="D674" s="3">
        <v>4.08</v>
      </c>
      <c r="E674" s="3">
        <v>32.64</v>
      </c>
      <c r="F674">
        <v>10</v>
      </c>
      <c r="G674">
        <v>3</v>
      </c>
      <c r="H674" s="4">
        <v>1.5</v>
      </c>
      <c r="I674" t="s">
        <v>33</v>
      </c>
      <c r="J674" t="s">
        <v>33</v>
      </c>
      <c r="L674">
        <f t="shared" si="20"/>
        <v>2019</v>
      </c>
      <c r="M674" t="str">
        <f t="shared" si="21"/>
        <v>Pre-COVID</v>
      </c>
    </row>
    <row r="675" spans="1:13" x14ac:dyDescent="0.25">
      <c r="A675" s="2">
        <v>43829</v>
      </c>
      <c r="B675" t="s">
        <v>43</v>
      </c>
      <c r="C675">
        <v>3</v>
      </c>
      <c r="D675" s="3">
        <v>5.49</v>
      </c>
      <c r="E675" s="3">
        <v>16.47</v>
      </c>
      <c r="F675">
        <v>4</v>
      </c>
      <c r="G675">
        <v>1</v>
      </c>
      <c r="H675" s="4">
        <v>0.9</v>
      </c>
      <c r="I675" t="s">
        <v>33</v>
      </c>
      <c r="J675" t="s">
        <v>33</v>
      </c>
      <c r="L675">
        <f t="shared" si="20"/>
        <v>2019</v>
      </c>
      <c r="M675" t="str">
        <f t="shared" si="21"/>
        <v>Pre-COVID</v>
      </c>
    </row>
    <row r="676" spans="1:13" x14ac:dyDescent="0.25">
      <c r="A676" s="2">
        <v>43829</v>
      </c>
      <c r="B676" t="s">
        <v>44</v>
      </c>
      <c r="C676">
        <v>0</v>
      </c>
      <c r="D676" s="3">
        <v>4.71</v>
      </c>
      <c r="E676" s="3">
        <v>0</v>
      </c>
      <c r="F676">
        <v>3</v>
      </c>
      <c r="G676">
        <v>3</v>
      </c>
      <c r="H676" s="4">
        <v>1.3</v>
      </c>
      <c r="I676" t="s">
        <v>33</v>
      </c>
      <c r="J676" t="s">
        <v>33</v>
      </c>
      <c r="L676">
        <f t="shared" si="20"/>
        <v>2019</v>
      </c>
      <c r="M676" t="str">
        <f t="shared" si="21"/>
        <v>Pre-COVID</v>
      </c>
    </row>
    <row r="677" spans="1:13" x14ac:dyDescent="0.25">
      <c r="A677" s="2">
        <v>43829</v>
      </c>
      <c r="B677" t="s">
        <v>45</v>
      </c>
      <c r="C677">
        <v>1</v>
      </c>
      <c r="D677" s="3">
        <v>15.32</v>
      </c>
      <c r="E677" s="3">
        <v>15.32</v>
      </c>
      <c r="F677">
        <v>3</v>
      </c>
      <c r="G677">
        <v>2</v>
      </c>
      <c r="H677" s="4">
        <v>1.1000000000000001</v>
      </c>
      <c r="I677" t="s">
        <v>46</v>
      </c>
      <c r="J677" t="s">
        <v>33</v>
      </c>
      <c r="L677">
        <f t="shared" si="20"/>
        <v>2019</v>
      </c>
      <c r="M677" t="str">
        <f t="shared" si="21"/>
        <v>Pre-COVID</v>
      </c>
    </row>
    <row r="678" spans="1:13" x14ac:dyDescent="0.25">
      <c r="A678" s="2">
        <v>43836</v>
      </c>
      <c r="B678" t="s">
        <v>32</v>
      </c>
      <c r="C678">
        <v>18</v>
      </c>
      <c r="D678" s="3">
        <v>6.79</v>
      </c>
      <c r="E678" s="3">
        <v>122.22</v>
      </c>
      <c r="F678">
        <v>20</v>
      </c>
      <c r="G678">
        <v>5</v>
      </c>
      <c r="H678" s="4">
        <v>0.8</v>
      </c>
      <c r="I678" t="s">
        <v>33</v>
      </c>
      <c r="J678" t="s">
        <v>33</v>
      </c>
      <c r="L678">
        <f t="shared" si="20"/>
        <v>2020</v>
      </c>
      <c r="M678" t="str">
        <f t="shared" si="21"/>
        <v>COVID Period</v>
      </c>
    </row>
    <row r="679" spans="1:13" x14ac:dyDescent="0.25">
      <c r="A679" s="2">
        <v>43836</v>
      </c>
      <c r="B679" t="s">
        <v>34</v>
      </c>
      <c r="C679">
        <v>13</v>
      </c>
      <c r="D679" s="3">
        <v>7.11</v>
      </c>
      <c r="E679" s="3">
        <v>92.43</v>
      </c>
      <c r="F679">
        <v>20</v>
      </c>
      <c r="G679">
        <v>7</v>
      </c>
      <c r="H679" s="4">
        <v>0.8</v>
      </c>
      <c r="I679" t="s">
        <v>33</v>
      </c>
      <c r="J679" t="s">
        <v>33</v>
      </c>
      <c r="L679">
        <f t="shared" si="20"/>
        <v>2020</v>
      </c>
      <c r="M679" t="str">
        <f t="shared" si="21"/>
        <v>COVID Period</v>
      </c>
    </row>
    <row r="680" spans="1:13" x14ac:dyDescent="0.25">
      <c r="A680" s="2">
        <v>43836</v>
      </c>
      <c r="B680" t="s">
        <v>35</v>
      </c>
      <c r="C680">
        <v>10</v>
      </c>
      <c r="D680" s="3">
        <v>6.04</v>
      </c>
      <c r="E680" s="3">
        <v>60.4</v>
      </c>
      <c r="F680">
        <v>11</v>
      </c>
      <c r="G680">
        <v>2</v>
      </c>
      <c r="H680" s="4">
        <v>0.6</v>
      </c>
      <c r="I680" t="s">
        <v>33</v>
      </c>
      <c r="J680" t="s">
        <v>33</v>
      </c>
      <c r="L680">
        <f t="shared" si="20"/>
        <v>2020</v>
      </c>
      <c r="M680" t="str">
        <f t="shared" si="21"/>
        <v>COVID Period</v>
      </c>
    </row>
    <row r="681" spans="1:13" x14ac:dyDescent="0.25">
      <c r="A681" s="2">
        <v>43836</v>
      </c>
      <c r="B681" t="s">
        <v>36</v>
      </c>
      <c r="C681">
        <v>17</v>
      </c>
      <c r="D681" s="3">
        <v>6.08</v>
      </c>
      <c r="E681" s="3">
        <v>103.36</v>
      </c>
      <c r="F681">
        <v>21</v>
      </c>
      <c r="G681">
        <v>7</v>
      </c>
      <c r="H681" s="4">
        <v>0.5</v>
      </c>
      <c r="I681" t="s">
        <v>33</v>
      </c>
      <c r="J681" t="s">
        <v>33</v>
      </c>
      <c r="L681">
        <f t="shared" si="20"/>
        <v>2020</v>
      </c>
      <c r="M681" t="str">
        <f t="shared" si="21"/>
        <v>COVID Period</v>
      </c>
    </row>
    <row r="682" spans="1:13" x14ac:dyDescent="0.25">
      <c r="A682" s="2">
        <v>43836</v>
      </c>
      <c r="B682" t="s">
        <v>37</v>
      </c>
      <c r="C682">
        <v>33</v>
      </c>
      <c r="D682" s="3">
        <v>3.17</v>
      </c>
      <c r="E682" s="3">
        <v>104.61</v>
      </c>
      <c r="F682">
        <v>39</v>
      </c>
      <c r="G682">
        <v>7</v>
      </c>
      <c r="H682" s="4">
        <v>1.3</v>
      </c>
      <c r="I682" t="s">
        <v>33</v>
      </c>
      <c r="J682" t="s">
        <v>33</v>
      </c>
      <c r="L682">
        <f t="shared" si="20"/>
        <v>2020</v>
      </c>
      <c r="M682" t="str">
        <f t="shared" si="21"/>
        <v>COVID Period</v>
      </c>
    </row>
    <row r="683" spans="1:13" x14ac:dyDescent="0.25">
      <c r="A683" s="2">
        <v>43836</v>
      </c>
      <c r="B683" t="s">
        <v>38</v>
      </c>
      <c r="C683">
        <v>11</v>
      </c>
      <c r="D683" s="3">
        <v>8.56</v>
      </c>
      <c r="E683" s="3">
        <v>94.16</v>
      </c>
      <c r="F683">
        <v>15</v>
      </c>
      <c r="G683">
        <v>7</v>
      </c>
      <c r="H683" s="4">
        <v>0</v>
      </c>
      <c r="I683" t="s">
        <v>33</v>
      </c>
      <c r="J683" t="s">
        <v>33</v>
      </c>
      <c r="L683">
        <f t="shared" si="20"/>
        <v>2020</v>
      </c>
      <c r="M683" t="str">
        <f t="shared" si="21"/>
        <v>COVID Period</v>
      </c>
    </row>
    <row r="684" spans="1:13" x14ac:dyDescent="0.25">
      <c r="A684" s="2">
        <v>43836</v>
      </c>
      <c r="B684" t="s">
        <v>39</v>
      </c>
      <c r="C684">
        <v>28</v>
      </c>
      <c r="D684" s="3">
        <v>11.3</v>
      </c>
      <c r="E684" s="3">
        <v>316.39999999999998</v>
      </c>
      <c r="F684">
        <v>35</v>
      </c>
      <c r="G684">
        <v>9</v>
      </c>
      <c r="H684" s="4">
        <v>1.3</v>
      </c>
      <c r="I684" t="s">
        <v>33</v>
      </c>
      <c r="J684" t="s">
        <v>33</v>
      </c>
      <c r="L684">
        <f t="shared" si="20"/>
        <v>2020</v>
      </c>
      <c r="M684" t="str">
        <f t="shared" si="21"/>
        <v>COVID Period</v>
      </c>
    </row>
    <row r="685" spans="1:13" x14ac:dyDescent="0.25">
      <c r="A685" s="2">
        <v>43836</v>
      </c>
      <c r="B685" t="s">
        <v>40</v>
      </c>
      <c r="C685">
        <v>11</v>
      </c>
      <c r="D685" s="3">
        <v>0.63</v>
      </c>
      <c r="E685" s="3">
        <v>6.93</v>
      </c>
      <c r="F685">
        <v>12</v>
      </c>
      <c r="G685">
        <v>1</v>
      </c>
      <c r="H685" s="4">
        <v>0.8</v>
      </c>
      <c r="I685" t="s">
        <v>33</v>
      </c>
      <c r="J685" t="s">
        <v>33</v>
      </c>
      <c r="L685">
        <f t="shared" si="20"/>
        <v>2020</v>
      </c>
      <c r="M685" t="str">
        <f t="shared" si="21"/>
        <v>COVID Period</v>
      </c>
    </row>
    <row r="686" spans="1:13" x14ac:dyDescent="0.25">
      <c r="A686" s="2">
        <v>43836</v>
      </c>
      <c r="B686" t="s">
        <v>41</v>
      </c>
      <c r="C686">
        <v>8</v>
      </c>
      <c r="D686" s="3">
        <v>1.34</v>
      </c>
      <c r="E686" s="3">
        <v>10.72</v>
      </c>
      <c r="F686">
        <v>12</v>
      </c>
      <c r="G686">
        <v>4</v>
      </c>
      <c r="H686" s="4">
        <v>1.4</v>
      </c>
      <c r="I686" t="s">
        <v>33</v>
      </c>
      <c r="J686" t="s">
        <v>33</v>
      </c>
      <c r="L686">
        <f t="shared" si="20"/>
        <v>2020</v>
      </c>
      <c r="M686" t="str">
        <f t="shared" si="21"/>
        <v>COVID Period</v>
      </c>
    </row>
    <row r="687" spans="1:13" x14ac:dyDescent="0.25">
      <c r="A687" s="2">
        <v>43836</v>
      </c>
      <c r="B687" t="s">
        <v>42</v>
      </c>
      <c r="C687">
        <v>7</v>
      </c>
      <c r="D687" s="3">
        <v>4.37</v>
      </c>
      <c r="E687" s="3">
        <v>30.59</v>
      </c>
      <c r="F687">
        <v>8</v>
      </c>
      <c r="G687">
        <v>2</v>
      </c>
      <c r="H687" s="4">
        <v>0</v>
      </c>
      <c r="I687" t="s">
        <v>33</v>
      </c>
      <c r="J687" t="s">
        <v>33</v>
      </c>
      <c r="L687">
        <f t="shared" si="20"/>
        <v>2020</v>
      </c>
      <c r="M687" t="str">
        <f t="shared" si="21"/>
        <v>COVID Period</v>
      </c>
    </row>
    <row r="688" spans="1:13" x14ac:dyDescent="0.25">
      <c r="A688" s="2">
        <v>43836</v>
      </c>
      <c r="B688" t="s">
        <v>43</v>
      </c>
      <c r="C688">
        <v>6</v>
      </c>
      <c r="D688" s="3">
        <v>5.71</v>
      </c>
      <c r="E688" s="3">
        <v>34.26</v>
      </c>
      <c r="F688">
        <v>10</v>
      </c>
      <c r="G688">
        <v>6</v>
      </c>
      <c r="H688" s="4">
        <v>0.3</v>
      </c>
      <c r="I688" t="s">
        <v>33</v>
      </c>
      <c r="J688" t="s">
        <v>33</v>
      </c>
      <c r="L688">
        <f t="shared" si="20"/>
        <v>2020</v>
      </c>
      <c r="M688" t="str">
        <f t="shared" si="21"/>
        <v>COVID Period</v>
      </c>
    </row>
    <row r="689" spans="1:13" x14ac:dyDescent="0.25">
      <c r="A689" s="2">
        <v>43836</v>
      </c>
      <c r="B689" t="s">
        <v>44</v>
      </c>
      <c r="C689">
        <v>0</v>
      </c>
      <c r="D689" s="3">
        <v>4.79</v>
      </c>
      <c r="E689" s="3">
        <v>0</v>
      </c>
      <c r="F689">
        <v>3</v>
      </c>
      <c r="G689">
        <v>3</v>
      </c>
      <c r="H689" s="4">
        <v>1.2</v>
      </c>
      <c r="I689" t="s">
        <v>33</v>
      </c>
      <c r="J689" t="s">
        <v>33</v>
      </c>
      <c r="L689">
        <f t="shared" si="20"/>
        <v>2020</v>
      </c>
      <c r="M689" t="str">
        <f t="shared" si="21"/>
        <v>COVID Period</v>
      </c>
    </row>
    <row r="690" spans="1:13" x14ac:dyDescent="0.25">
      <c r="A690" s="2">
        <v>43836</v>
      </c>
      <c r="B690" t="s">
        <v>45</v>
      </c>
      <c r="C690">
        <v>0</v>
      </c>
      <c r="D690" s="3">
        <v>15.5</v>
      </c>
      <c r="E690" s="3">
        <v>0</v>
      </c>
      <c r="F690">
        <v>3</v>
      </c>
      <c r="G690">
        <v>3</v>
      </c>
      <c r="H690" s="4">
        <v>0.7</v>
      </c>
      <c r="I690" t="s">
        <v>33</v>
      </c>
      <c r="J690" t="s">
        <v>33</v>
      </c>
      <c r="L690">
        <f t="shared" si="20"/>
        <v>2020</v>
      </c>
      <c r="M690" t="str">
        <f t="shared" si="21"/>
        <v>COVID Period</v>
      </c>
    </row>
    <row r="691" spans="1:13" x14ac:dyDescent="0.25">
      <c r="A691" s="2">
        <v>43843</v>
      </c>
      <c r="B691" t="s">
        <v>32</v>
      </c>
      <c r="C691">
        <v>22</v>
      </c>
      <c r="D691" s="3">
        <v>6.61</v>
      </c>
      <c r="E691" s="3">
        <v>145.41999999999999</v>
      </c>
      <c r="F691">
        <v>31</v>
      </c>
      <c r="G691">
        <v>9</v>
      </c>
      <c r="H691" s="4">
        <v>1.2</v>
      </c>
      <c r="I691" t="s">
        <v>33</v>
      </c>
      <c r="J691" t="s">
        <v>33</v>
      </c>
      <c r="L691">
        <f t="shared" si="20"/>
        <v>2020</v>
      </c>
      <c r="M691" t="str">
        <f t="shared" si="21"/>
        <v>COVID Period</v>
      </c>
    </row>
    <row r="692" spans="1:13" x14ac:dyDescent="0.25">
      <c r="A692" s="2">
        <v>43843</v>
      </c>
      <c r="B692" t="s">
        <v>34</v>
      </c>
      <c r="C692">
        <v>28</v>
      </c>
      <c r="D692" s="3">
        <v>6.89</v>
      </c>
      <c r="E692" s="3">
        <v>192.92</v>
      </c>
      <c r="F692">
        <v>37</v>
      </c>
      <c r="G692">
        <v>13</v>
      </c>
      <c r="H692" s="4">
        <v>1.2</v>
      </c>
      <c r="I692" t="s">
        <v>33</v>
      </c>
      <c r="J692" t="s">
        <v>33</v>
      </c>
      <c r="L692">
        <f t="shared" si="20"/>
        <v>2020</v>
      </c>
      <c r="M692" t="str">
        <f t="shared" si="21"/>
        <v>COVID Period</v>
      </c>
    </row>
    <row r="693" spans="1:13" x14ac:dyDescent="0.25">
      <c r="A693" s="2">
        <v>43843</v>
      </c>
      <c r="B693" t="s">
        <v>35</v>
      </c>
      <c r="C693">
        <v>17</v>
      </c>
      <c r="D693" s="3">
        <v>6.04</v>
      </c>
      <c r="E693" s="3">
        <v>102.68</v>
      </c>
      <c r="F693">
        <v>26</v>
      </c>
      <c r="G693">
        <v>11</v>
      </c>
      <c r="H693" s="4">
        <v>0.4</v>
      </c>
      <c r="I693" t="s">
        <v>33</v>
      </c>
      <c r="J693" t="s">
        <v>33</v>
      </c>
      <c r="L693">
        <f t="shared" si="20"/>
        <v>2020</v>
      </c>
      <c r="M693" t="str">
        <f t="shared" si="21"/>
        <v>COVID Period</v>
      </c>
    </row>
    <row r="694" spans="1:13" x14ac:dyDescent="0.25">
      <c r="A694" s="2">
        <v>43843</v>
      </c>
      <c r="B694" t="s">
        <v>36</v>
      </c>
      <c r="C694">
        <v>13</v>
      </c>
      <c r="D694" s="3">
        <v>6.49</v>
      </c>
      <c r="E694" s="3">
        <v>84.37</v>
      </c>
      <c r="F694">
        <v>19</v>
      </c>
      <c r="G694">
        <v>8</v>
      </c>
      <c r="H694" s="4">
        <v>1.6</v>
      </c>
      <c r="I694" t="s">
        <v>33</v>
      </c>
      <c r="J694" t="s">
        <v>33</v>
      </c>
      <c r="L694">
        <f t="shared" si="20"/>
        <v>2020</v>
      </c>
      <c r="M694" t="str">
        <f t="shared" si="21"/>
        <v>COVID Period</v>
      </c>
    </row>
    <row r="695" spans="1:13" x14ac:dyDescent="0.25">
      <c r="A695" s="2">
        <v>43843</v>
      </c>
      <c r="B695" t="s">
        <v>37</v>
      </c>
      <c r="C695">
        <v>22</v>
      </c>
      <c r="D695" s="3">
        <v>3.18</v>
      </c>
      <c r="E695" s="3">
        <v>69.959999999999994</v>
      </c>
      <c r="F695">
        <v>33</v>
      </c>
      <c r="G695">
        <v>12</v>
      </c>
      <c r="H695" s="4">
        <v>1.1000000000000001</v>
      </c>
      <c r="I695" t="s">
        <v>33</v>
      </c>
      <c r="J695" t="s">
        <v>33</v>
      </c>
      <c r="L695">
        <f t="shared" si="20"/>
        <v>2020</v>
      </c>
      <c r="M695" t="str">
        <f t="shared" si="21"/>
        <v>COVID Period</v>
      </c>
    </row>
    <row r="696" spans="1:13" x14ac:dyDescent="0.25">
      <c r="A696" s="2">
        <v>43843</v>
      </c>
      <c r="B696" t="s">
        <v>38</v>
      </c>
      <c r="C696">
        <v>18</v>
      </c>
      <c r="D696" s="3">
        <v>8.4</v>
      </c>
      <c r="E696" s="3">
        <v>151.19999999999999</v>
      </c>
      <c r="F696">
        <v>23</v>
      </c>
      <c r="G696">
        <v>6</v>
      </c>
      <c r="H696" s="4">
        <v>0.7</v>
      </c>
      <c r="I696" t="s">
        <v>33</v>
      </c>
      <c r="J696" t="s">
        <v>33</v>
      </c>
      <c r="L696">
        <f t="shared" si="20"/>
        <v>2020</v>
      </c>
      <c r="M696" t="str">
        <f t="shared" si="21"/>
        <v>COVID Period</v>
      </c>
    </row>
    <row r="697" spans="1:13" x14ac:dyDescent="0.25">
      <c r="A697" s="2">
        <v>43843</v>
      </c>
      <c r="B697" t="s">
        <v>39</v>
      </c>
      <c r="C697">
        <v>24</v>
      </c>
      <c r="D697" s="3">
        <v>11.59</v>
      </c>
      <c r="E697" s="3">
        <v>278.16000000000003</v>
      </c>
      <c r="F697">
        <v>28</v>
      </c>
      <c r="G697">
        <v>6</v>
      </c>
      <c r="H697" s="4">
        <v>1.2</v>
      </c>
      <c r="I697" t="s">
        <v>33</v>
      </c>
      <c r="J697" t="s">
        <v>33</v>
      </c>
      <c r="L697">
        <f t="shared" si="20"/>
        <v>2020</v>
      </c>
      <c r="M697" t="str">
        <f t="shared" si="21"/>
        <v>COVID Period</v>
      </c>
    </row>
    <row r="698" spans="1:13" x14ac:dyDescent="0.25">
      <c r="A698" s="2">
        <v>43843</v>
      </c>
      <c r="B698" t="s">
        <v>40</v>
      </c>
      <c r="C698">
        <v>12</v>
      </c>
      <c r="D698" s="3">
        <v>0.68</v>
      </c>
      <c r="E698" s="3">
        <v>8.16</v>
      </c>
      <c r="F698">
        <v>16</v>
      </c>
      <c r="G698">
        <v>4</v>
      </c>
      <c r="H698" s="4">
        <v>1.1000000000000001</v>
      </c>
      <c r="I698" t="s">
        <v>33</v>
      </c>
      <c r="J698" t="s">
        <v>33</v>
      </c>
      <c r="L698">
        <f t="shared" si="20"/>
        <v>2020</v>
      </c>
      <c r="M698" t="str">
        <f t="shared" si="21"/>
        <v>COVID Period</v>
      </c>
    </row>
    <row r="699" spans="1:13" x14ac:dyDescent="0.25">
      <c r="A699" s="2">
        <v>43843</v>
      </c>
      <c r="B699" t="s">
        <v>41</v>
      </c>
      <c r="C699">
        <v>8</v>
      </c>
      <c r="D699" s="3">
        <v>1.37</v>
      </c>
      <c r="E699" s="3">
        <v>10.96</v>
      </c>
      <c r="F699">
        <v>13</v>
      </c>
      <c r="G699">
        <v>6</v>
      </c>
      <c r="H699" s="4">
        <v>0.3</v>
      </c>
      <c r="I699" t="s">
        <v>33</v>
      </c>
      <c r="J699" t="s">
        <v>33</v>
      </c>
      <c r="L699">
        <f t="shared" si="20"/>
        <v>2020</v>
      </c>
      <c r="M699" t="str">
        <f t="shared" si="21"/>
        <v>COVID Period</v>
      </c>
    </row>
    <row r="700" spans="1:13" x14ac:dyDescent="0.25">
      <c r="A700" s="2">
        <v>43843</v>
      </c>
      <c r="B700" t="s">
        <v>42</v>
      </c>
      <c r="C700">
        <v>9</v>
      </c>
      <c r="D700" s="3">
        <v>4.13</v>
      </c>
      <c r="E700" s="3">
        <v>37.17</v>
      </c>
      <c r="F700">
        <v>15</v>
      </c>
      <c r="G700">
        <v>8</v>
      </c>
      <c r="H700" s="4">
        <v>0</v>
      </c>
      <c r="I700" t="s">
        <v>33</v>
      </c>
      <c r="J700" t="s">
        <v>33</v>
      </c>
      <c r="L700">
        <f t="shared" si="20"/>
        <v>2020</v>
      </c>
      <c r="M700" t="str">
        <f t="shared" si="21"/>
        <v>COVID Period</v>
      </c>
    </row>
    <row r="701" spans="1:13" x14ac:dyDescent="0.25">
      <c r="A701" s="2">
        <v>43843</v>
      </c>
      <c r="B701" t="s">
        <v>43</v>
      </c>
      <c r="C701">
        <v>7</v>
      </c>
      <c r="D701" s="3">
        <v>5.76</v>
      </c>
      <c r="E701" s="3">
        <v>40.32</v>
      </c>
      <c r="F701">
        <v>8</v>
      </c>
      <c r="G701">
        <v>2</v>
      </c>
      <c r="H701" s="4">
        <v>0.5</v>
      </c>
      <c r="I701" t="s">
        <v>33</v>
      </c>
      <c r="J701" t="s">
        <v>33</v>
      </c>
      <c r="L701">
        <f t="shared" si="20"/>
        <v>2020</v>
      </c>
      <c r="M701" t="str">
        <f t="shared" si="21"/>
        <v>COVID Period</v>
      </c>
    </row>
    <row r="702" spans="1:13" x14ac:dyDescent="0.25">
      <c r="A702" s="2">
        <v>43843</v>
      </c>
      <c r="B702" t="s">
        <v>44</v>
      </c>
      <c r="C702">
        <v>0</v>
      </c>
      <c r="D702" s="3">
        <v>4.84</v>
      </c>
      <c r="E702" s="3">
        <v>0</v>
      </c>
      <c r="F702">
        <v>3</v>
      </c>
      <c r="G702">
        <v>3</v>
      </c>
      <c r="H702" s="4">
        <v>0.5</v>
      </c>
      <c r="I702" t="s">
        <v>33</v>
      </c>
      <c r="J702" t="s">
        <v>33</v>
      </c>
      <c r="L702">
        <f t="shared" si="20"/>
        <v>2020</v>
      </c>
      <c r="M702" t="str">
        <f t="shared" si="21"/>
        <v>COVID Period</v>
      </c>
    </row>
    <row r="703" spans="1:13" x14ac:dyDescent="0.25">
      <c r="A703" s="2">
        <v>43843</v>
      </c>
      <c r="B703" t="s">
        <v>45</v>
      </c>
      <c r="C703">
        <v>1</v>
      </c>
      <c r="D703" s="3">
        <v>15.3</v>
      </c>
      <c r="E703" s="3">
        <v>15.3</v>
      </c>
      <c r="F703">
        <v>3</v>
      </c>
      <c r="G703">
        <v>2</v>
      </c>
      <c r="H703" s="4">
        <v>0.6</v>
      </c>
      <c r="I703" t="s">
        <v>46</v>
      </c>
      <c r="J703" t="s">
        <v>33</v>
      </c>
      <c r="L703">
        <f t="shared" si="20"/>
        <v>2020</v>
      </c>
      <c r="M703" t="str">
        <f t="shared" si="21"/>
        <v>COVID Period</v>
      </c>
    </row>
    <row r="704" spans="1:13" x14ac:dyDescent="0.25">
      <c r="A704" s="2">
        <v>43850</v>
      </c>
      <c r="B704" t="s">
        <v>32</v>
      </c>
      <c r="C704">
        <v>24</v>
      </c>
      <c r="D704" s="3">
        <v>6.74</v>
      </c>
      <c r="E704" s="3">
        <v>161.76</v>
      </c>
      <c r="F704">
        <v>36</v>
      </c>
      <c r="G704">
        <v>13</v>
      </c>
      <c r="H704" s="4">
        <v>0.9</v>
      </c>
      <c r="I704" t="s">
        <v>33</v>
      </c>
      <c r="J704" t="s">
        <v>33</v>
      </c>
      <c r="L704">
        <f t="shared" si="20"/>
        <v>2020</v>
      </c>
      <c r="M704" t="str">
        <f t="shared" si="21"/>
        <v>COVID Period</v>
      </c>
    </row>
    <row r="705" spans="1:13" x14ac:dyDescent="0.25">
      <c r="A705" s="2">
        <v>43850</v>
      </c>
      <c r="B705" t="s">
        <v>34</v>
      </c>
      <c r="C705">
        <v>24</v>
      </c>
      <c r="D705" s="3">
        <v>7.25</v>
      </c>
      <c r="E705" s="3">
        <v>174</v>
      </c>
      <c r="F705">
        <v>30</v>
      </c>
      <c r="G705">
        <v>8</v>
      </c>
      <c r="H705" s="4">
        <v>0.6</v>
      </c>
      <c r="I705" t="s">
        <v>33</v>
      </c>
      <c r="J705" t="s">
        <v>33</v>
      </c>
      <c r="L705">
        <f t="shared" si="20"/>
        <v>2020</v>
      </c>
      <c r="M705" t="str">
        <f t="shared" si="21"/>
        <v>COVID Period</v>
      </c>
    </row>
    <row r="706" spans="1:13" x14ac:dyDescent="0.25">
      <c r="A706" s="2">
        <v>43850</v>
      </c>
      <c r="B706" t="s">
        <v>35</v>
      </c>
      <c r="C706">
        <v>13</v>
      </c>
      <c r="D706" s="3">
        <v>6.12</v>
      </c>
      <c r="E706" s="3">
        <v>79.56</v>
      </c>
      <c r="F706">
        <v>17</v>
      </c>
      <c r="G706">
        <v>6</v>
      </c>
      <c r="H706" s="4">
        <v>1.2</v>
      </c>
      <c r="I706" t="s">
        <v>33</v>
      </c>
      <c r="J706" t="s">
        <v>33</v>
      </c>
      <c r="L706">
        <f t="shared" ref="L706:L769" si="22">YEAR(A706)</f>
        <v>2020</v>
      </c>
      <c r="M706" t="str">
        <f t="shared" ref="M706:M769" si="23">IF(L706=2019,"Pre-COVID","COVID Period")</f>
        <v>COVID Period</v>
      </c>
    </row>
    <row r="707" spans="1:13" x14ac:dyDescent="0.25">
      <c r="A707" s="2">
        <v>43850</v>
      </c>
      <c r="B707" t="s">
        <v>36</v>
      </c>
      <c r="C707">
        <v>9</v>
      </c>
      <c r="D707" s="3">
        <v>5.96</v>
      </c>
      <c r="E707" s="3">
        <v>53.64</v>
      </c>
      <c r="F707">
        <v>13</v>
      </c>
      <c r="G707">
        <v>6</v>
      </c>
      <c r="H707" s="4">
        <v>1.6</v>
      </c>
      <c r="I707" t="s">
        <v>33</v>
      </c>
      <c r="J707" t="s">
        <v>33</v>
      </c>
      <c r="L707">
        <f t="shared" si="22"/>
        <v>2020</v>
      </c>
      <c r="M707" t="str">
        <f t="shared" si="23"/>
        <v>COVID Period</v>
      </c>
    </row>
    <row r="708" spans="1:13" x14ac:dyDescent="0.25">
      <c r="A708" s="2">
        <v>43850</v>
      </c>
      <c r="B708" t="s">
        <v>37</v>
      </c>
      <c r="C708">
        <v>27</v>
      </c>
      <c r="D708" s="3">
        <v>3.09</v>
      </c>
      <c r="E708" s="3">
        <v>83.43</v>
      </c>
      <c r="F708">
        <v>34</v>
      </c>
      <c r="G708">
        <v>10</v>
      </c>
      <c r="H708" s="4">
        <v>0.7</v>
      </c>
      <c r="I708" t="s">
        <v>33</v>
      </c>
      <c r="J708" t="s">
        <v>33</v>
      </c>
      <c r="L708">
        <f t="shared" si="22"/>
        <v>2020</v>
      </c>
      <c r="M708" t="str">
        <f t="shared" si="23"/>
        <v>COVID Period</v>
      </c>
    </row>
    <row r="709" spans="1:13" x14ac:dyDescent="0.25">
      <c r="A709" s="2">
        <v>43850</v>
      </c>
      <c r="B709" t="s">
        <v>38</v>
      </c>
      <c r="C709">
        <v>13</v>
      </c>
      <c r="D709" s="3">
        <v>8.39</v>
      </c>
      <c r="E709" s="3">
        <v>109.07</v>
      </c>
      <c r="F709">
        <v>18</v>
      </c>
      <c r="G709">
        <v>5</v>
      </c>
      <c r="H709" s="4">
        <v>1</v>
      </c>
      <c r="I709" t="s">
        <v>33</v>
      </c>
      <c r="J709" t="s">
        <v>33</v>
      </c>
      <c r="L709">
        <f t="shared" si="22"/>
        <v>2020</v>
      </c>
      <c r="M709" t="str">
        <f t="shared" si="23"/>
        <v>COVID Period</v>
      </c>
    </row>
    <row r="710" spans="1:13" x14ac:dyDescent="0.25">
      <c r="A710" s="2">
        <v>43850</v>
      </c>
      <c r="B710" t="s">
        <v>39</v>
      </c>
      <c r="C710">
        <v>25</v>
      </c>
      <c r="D710" s="3">
        <v>11.54</v>
      </c>
      <c r="E710" s="3">
        <v>288.5</v>
      </c>
      <c r="F710">
        <v>36</v>
      </c>
      <c r="G710">
        <v>11</v>
      </c>
      <c r="H710" s="4">
        <v>0</v>
      </c>
      <c r="I710" t="s">
        <v>33</v>
      </c>
      <c r="J710" t="s">
        <v>33</v>
      </c>
      <c r="L710">
        <f t="shared" si="22"/>
        <v>2020</v>
      </c>
      <c r="M710" t="str">
        <f t="shared" si="23"/>
        <v>COVID Period</v>
      </c>
    </row>
    <row r="711" spans="1:13" x14ac:dyDescent="0.25">
      <c r="A711" s="2">
        <v>43850</v>
      </c>
      <c r="B711" t="s">
        <v>40</v>
      </c>
      <c r="C711">
        <v>10</v>
      </c>
      <c r="D711" s="3">
        <v>0.67</v>
      </c>
      <c r="E711" s="3">
        <v>6.7</v>
      </c>
      <c r="F711">
        <v>15</v>
      </c>
      <c r="G711">
        <v>7</v>
      </c>
      <c r="H711" s="4">
        <v>1.2</v>
      </c>
      <c r="I711" t="s">
        <v>33</v>
      </c>
      <c r="J711" t="s">
        <v>33</v>
      </c>
      <c r="L711">
        <f t="shared" si="22"/>
        <v>2020</v>
      </c>
      <c r="M711" t="str">
        <f t="shared" si="23"/>
        <v>COVID Period</v>
      </c>
    </row>
    <row r="712" spans="1:13" x14ac:dyDescent="0.25">
      <c r="A712" s="2">
        <v>43850</v>
      </c>
      <c r="B712" t="s">
        <v>41</v>
      </c>
      <c r="C712">
        <v>6</v>
      </c>
      <c r="D712" s="3">
        <v>1.41</v>
      </c>
      <c r="E712" s="3">
        <v>8.4600000000000009</v>
      </c>
      <c r="F712">
        <v>10</v>
      </c>
      <c r="G712">
        <v>5</v>
      </c>
      <c r="H712" s="4">
        <v>1.6</v>
      </c>
      <c r="I712" t="s">
        <v>33</v>
      </c>
      <c r="J712" t="s">
        <v>33</v>
      </c>
      <c r="L712">
        <f t="shared" si="22"/>
        <v>2020</v>
      </c>
      <c r="M712" t="str">
        <f t="shared" si="23"/>
        <v>COVID Period</v>
      </c>
    </row>
    <row r="713" spans="1:13" x14ac:dyDescent="0.25">
      <c r="A713" s="2">
        <v>43850</v>
      </c>
      <c r="B713" t="s">
        <v>42</v>
      </c>
      <c r="C713">
        <v>9</v>
      </c>
      <c r="D713" s="3">
        <v>4.1900000000000004</v>
      </c>
      <c r="E713" s="3">
        <v>37.71</v>
      </c>
      <c r="F713">
        <v>9</v>
      </c>
      <c r="G713">
        <v>1</v>
      </c>
      <c r="H713" s="4">
        <v>1.1000000000000001</v>
      </c>
      <c r="I713" t="s">
        <v>33</v>
      </c>
      <c r="J713" t="s">
        <v>46</v>
      </c>
      <c r="L713">
        <f t="shared" si="22"/>
        <v>2020</v>
      </c>
      <c r="M713" t="str">
        <f t="shared" si="23"/>
        <v>COVID Period</v>
      </c>
    </row>
    <row r="714" spans="1:13" x14ac:dyDescent="0.25">
      <c r="A714" s="2">
        <v>43850</v>
      </c>
      <c r="B714" t="s">
        <v>43</v>
      </c>
      <c r="C714">
        <v>5</v>
      </c>
      <c r="D714" s="3">
        <v>5.61</v>
      </c>
      <c r="E714" s="3">
        <v>28.05</v>
      </c>
      <c r="F714">
        <v>8</v>
      </c>
      <c r="G714">
        <v>3</v>
      </c>
      <c r="H714" s="4">
        <v>0.2</v>
      </c>
      <c r="I714" t="s">
        <v>33</v>
      </c>
      <c r="J714" t="s">
        <v>33</v>
      </c>
      <c r="L714">
        <f t="shared" si="22"/>
        <v>2020</v>
      </c>
      <c r="M714" t="str">
        <f t="shared" si="23"/>
        <v>COVID Period</v>
      </c>
    </row>
    <row r="715" spans="1:13" x14ac:dyDescent="0.25">
      <c r="A715" s="2">
        <v>43850</v>
      </c>
      <c r="B715" t="s">
        <v>44</v>
      </c>
      <c r="C715">
        <v>1</v>
      </c>
      <c r="D715" s="3">
        <v>5.01</v>
      </c>
      <c r="E715" s="3">
        <v>5.01</v>
      </c>
      <c r="F715">
        <v>3</v>
      </c>
      <c r="G715">
        <v>3</v>
      </c>
      <c r="H715" s="4">
        <v>1.1000000000000001</v>
      </c>
      <c r="I715" t="s">
        <v>46</v>
      </c>
      <c r="J715" t="s">
        <v>33</v>
      </c>
      <c r="K715" t="s">
        <v>47</v>
      </c>
      <c r="L715">
        <f t="shared" si="22"/>
        <v>2020</v>
      </c>
      <c r="M715" t="str">
        <f t="shared" si="23"/>
        <v>COVID Period</v>
      </c>
    </row>
    <row r="716" spans="1:13" x14ac:dyDescent="0.25">
      <c r="A716" s="2">
        <v>43850</v>
      </c>
      <c r="B716" t="s">
        <v>45</v>
      </c>
      <c r="C716">
        <v>0</v>
      </c>
      <c r="D716" s="3">
        <v>15.56</v>
      </c>
      <c r="E716" s="3">
        <v>0</v>
      </c>
      <c r="F716">
        <v>3</v>
      </c>
      <c r="G716">
        <v>3</v>
      </c>
      <c r="H716" s="4">
        <v>1.1000000000000001</v>
      </c>
      <c r="I716" t="s">
        <v>33</v>
      </c>
      <c r="J716" t="s">
        <v>33</v>
      </c>
      <c r="L716">
        <f t="shared" si="22"/>
        <v>2020</v>
      </c>
      <c r="M716" t="str">
        <f t="shared" si="23"/>
        <v>COVID Period</v>
      </c>
    </row>
    <row r="717" spans="1:13" x14ac:dyDescent="0.25">
      <c r="A717" s="2">
        <v>43857</v>
      </c>
      <c r="B717" t="s">
        <v>32</v>
      </c>
      <c r="C717">
        <v>30</v>
      </c>
      <c r="D717" s="3">
        <v>6.61</v>
      </c>
      <c r="E717" s="3">
        <v>198.3</v>
      </c>
      <c r="F717">
        <v>43</v>
      </c>
      <c r="G717">
        <v>15</v>
      </c>
      <c r="H717" s="4">
        <v>0.7</v>
      </c>
      <c r="I717" t="s">
        <v>33</v>
      </c>
      <c r="J717" t="s">
        <v>33</v>
      </c>
      <c r="L717">
        <f t="shared" si="22"/>
        <v>2020</v>
      </c>
      <c r="M717" t="str">
        <f t="shared" si="23"/>
        <v>COVID Period</v>
      </c>
    </row>
    <row r="718" spans="1:13" x14ac:dyDescent="0.25">
      <c r="A718" s="2">
        <v>43857</v>
      </c>
      <c r="B718" t="s">
        <v>34</v>
      </c>
      <c r="C718">
        <v>23</v>
      </c>
      <c r="D718" s="3">
        <v>6.89</v>
      </c>
      <c r="E718" s="3">
        <v>158.47</v>
      </c>
      <c r="F718">
        <v>30</v>
      </c>
      <c r="G718">
        <v>10</v>
      </c>
      <c r="H718" s="4">
        <v>1.7</v>
      </c>
      <c r="I718" t="s">
        <v>33</v>
      </c>
      <c r="J718" t="s">
        <v>33</v>
      </c>
      <c r="L718">
        <f t="shared" si="22"/>
        <v>2020</v>
      </c>
      <c r="M718" t="str">
        <f t="shared" si="23"/>
        <v>COVID Period</v>
      </c>
    </row>
    <row r="719" spans="1:13" x14ac:dyDescent="0.25">
      <c r="A719" s="2">
        <v>43857</v>
      </c>
      <c r="B719" t="s">
        <v>35</v>
      </c>
      <c r="C719">
        <v>16</v>
      </c>
      <c r="D719" s="3">
        <v>6</v>
      </c>
      <c r="E719" s="3">
        <v>96</v>
      </c>
      <c r="F719">
        <v>21</v>
      </c>
      <c r="G719">
        <v>7</v>
      </c>
      <c r="H719" s="4">
        <v>2</v>
      </c>
      <c r="I719" t="s">
        <v>33</v>
      </c>
      <c r="J719" t="s">
        <v>33</v>
      </c>
      <c r="L719">
        <f t="shared" si="22"/>
        <v>2020</v>
      </c>
      <c r="M719" t="str">
        <f t="shared" si="23"/>
        <v>COVID Period</v>
      </c>
    </row>
    <row r="720" spans="1:13" x14ac:dyDescent="0.25">
      <c r="A720" s="2">
        <v>43857</v>
      </c>
      <c r="B720" t="s">
        <v>36</v>
      </c>
      <c r="C720">
        <v>15</v>
      </c>
      <c r="D720" s="3">
        <v>6.39</v>
      </c>
      <c r="E720" s="3">
        <v>95.85</v>
      </c>
      <c r="F720">
        <v>23</v>
      </c>
      <c r="G720">
        <v>11</v>
      </c>
      <c r="H720" s="4">
        <v>0.6</v>
      </c>
      <c r="I720" t="s">
        <v>33</v>
      </c>
      <c r="J720" t="s">
        <v>33</v>
      </c>
      <c r="L720">
        <f t="shared" si="22"/>
        <v>2020</v>
      </c>
      <c r="M720" t="str">
        <f t="shared" si="23"/>
        <v>COVID Period</v>
      </c>
    </row>
    <row r="721" spans="1:13" x14ac:dyDescent="0.25">
      <c r="A721" s="2">
        <v>43857</v>
      </c>
      <c r="B721" t="s">
        <v>37</v>
      </c>
      <c r="C721">
        <v>29</v>
      </c>
      <c r="D721" s="3">
        <v>3.3</v>
      </c>
      <c r="E721" s="3">
        <v>95.7</v>
      </c>
      <c r="F721">
        <v>31</v>
      </c>
      <c r="G721">
        <v>6</v>
      </c>
      <c r="H721" s="4">
        <v>0.3</v>
      </c>
      <c r="I721" t="s">
        <v>33</v>
      </c>
      <c r="J721" t="s">
        <v>33</v>
      </c>
      <c r="L721">
        <f t="shared" si="22"/>
        <v>2020</v>
      </c>
      <c r="M721" t="str">
        <f t="shared" si="23"/>
        <v>COVID Period</v>
      </c>
    </row>
    <row r="722" spans="1:13" x14ac:dyDescent="0.25">
      <c r="A722" s="2">
        <v>43857</v>
      </c>
      <c r="B722" t="s">
        <v>38</v>
      </c>
      <c r="C722">
        <v>17</v>
      </c>
      <c r="D722" s="3">
        <v>8.76</v>
      </c>
      <c r="E722" s="3">
        <v>148.91999999999999</v>
      </c>
      <c r="F722">
        <v>23</v>
      </c>
      <c r="G722">
        <v>9</v>
      </c>
      <c r="H722" s="4">
        <v>1.1000000000000001</v>
      </c>
      <c r="I722" t="s">
        <v>33</v>
      </c>
      <c r="J722" t="s">
        <v>33</v>
      </c>
      <c r="L722">
        <f t="shared" si="22"/>
        <v>2020</v>
      </c>
      <c r="M722" t="str">
        <f t="shared" si="23"/>
        <v>COVID Period</v>
      </c>
    </row>
    <row r="723" spans="1:13" x14ac:dyDescent="0.25">
      <c r="A723" s="2">
        <v>43857</v>
      </c>
      <c r="B723" t="s">
        <v>39</v>
      </c>
      <c r="C723">
        <v>29</v>
      </c>
      <c r="D723" s="3">
        <v>11.76</v>
      </c>
      <c r="E723" s="3">
        <v>341.04</v>
      </c>
      <c r="F723">
        <v>32</v>
      </c>
      <c r="G723">
        <v>5</v>
      </c>
      <c r="H723" s="4">
        <v>0.8</v>
      </c>
      <c r="I723" t="s">
        <v>33</v>
      </c>
      <c r="J723" t="s">
        <v>33</v>
      </c>
      <c r="L723">
        <f t="shared" si="22"/>
        <v>2020</v>
      </c>
      <c r="M723" t="str">
        <f t="shared" si="23"/>
        <v>COVID Period</v>
      </c>
    </row>
    <row r="724" spans="1:13" x14ac:dyDescent="0.25">
      <c r="A724" s="2">
        <v>43857</v>
      </c>
      <c r="B724" t="s">
        <v>40</v>
      </c>
      <c r="C724">
        <v>11</v>
      </c>
      <c r="D724" s="3">
        <v>0.65</v>
      </c>
      <c r="E724" s="3">
        <v>7.15</v>
      </c>
      <c r="F724">
        <v>14</v>
      </c>
      <c r="G724">
        <v>4</v>
      </c>
      <c r="H724" s="4">
        <v>0.5</v>
      </c>
      <c r="I724" t="s">
        <v>33</v>
      </c>
      <c r="J724" t="s">
        <v>33</v>
      </c>
      <c r="L724">
        <f t="shared" si="22"/>
        <v>2020</v>
      </c>
      <c r="M724" t="str">
        <f t="shared" si="23"/>
        <v>COVID Period</v>
      </c>
    </row>
    <row r="725" spans="1:13" x14ac:dyDescent="0.25">
      <c r="A725" s="2">
        <v>43857</v>
      </c>
      <c r="B725" t="s">
        <v>41</v>
      </c>
      <c r="C725">
        <v>6</v>
      </c>
      <c r="D725" s="3">
        <v>1.3</v>
      </c>
      <c r="E725" s="3">
        <v>7.8</v>
      </c>
      <c r="F725">
        <v>9</v>
      </c>
      <c r="G725">
        <v>4</v>
      </c>
      <c r="H725" s="4">
        <v>1.2</v>
      </c>
      <c r="I725" t="s">
        <v>33</v>
      </c>
      <c r="J725" t="s">
        <v>33</v>
      </c>
      <c r="L725">
        <f t="shared" si="22"/>
        <v>2020</v>
      </c>
      <c r="M725" t="str">
        <f t="shared" si="23"/>
        <v>COVID Period</v>
      </c>
    </row>
    <row r="726" spans="1:13" x14ac:dyDescent="0.25">
      <c r="A726" s="2">
        <v>43857</v>
      </c>
      <c r="B726" t="s">
        <v>42</v>
      </c>
      <c r="C726">
        <v>6</v>
      </c>
      <c r="D726" s="3">
        <v>4.38</v>
      </c>
      <c r="E726" s="3">
        <v>26.28</v>
      </c>
      <c r="F726">
        <v>7</v>
      </c>
      <c r="G726">
        <v>2</v>
      </c>
      <c r="H726" s="4">
        <v>0.8</v>
      </c>
      <c r="I726" t="s">
        <v>33</v>
      </c>
      <c r="J726" t="s">
        <v>33</v>
      </c>
      <c r="L726">
        <f t="shared" si="22"/>
        <v>2020</v>
      </c>
      <c r="M726" t="str">
        <f t="shared" si="23"/>
        <v>COVID Period</v>
      </c>
    </row>
    <row r="727" spans="1:13" x14ac:dyDescent="0.25">
      <c r="A727" s="2">
        <v>43857</v>
      </c>
      <c r="B727" t="s">
        <v>43</v>
      </c>
      <c r="C727">
        <v>4</v>
      </c>
      <c r="D727" s="3">
        <v>5.74</v>
      </c>
      <c r="E727" s="3">
        <v>22.96</v>
      </c>
      <c r="F727">
        <v>5</v>
      </c>
      <c r="G727">
        <v>1</v>
      </c>
      <c r="H727" s="4">
        <v>0.4</v>
      </c>
      <c r="I727" t="s">
        <v>33</v>
      </c>
      <c r="J727" t="s">
        <v>33</v>
      </c>
      <c r="L727">
        <f t="shared" si="22"/>
        <v>2020</v>
      </c>
      <c r="M727" t="str">
        <f t="shared" si="23"/>
        <v>COVID Period</v>
      </c>
    </row>
    <row r="728" spans="1:13" x14ac:dyDescent="0.25">
      <c r="A728" s="2">
        <v>43857</v>
      </c>
      <c r="B728" t="s">
        <v>44</v>
      </c>
      <c r="C728">
        <v>0</v>
      </c>
      <c r="D728" s="3">
        <v>4.79</v>
      </c>
      <c r="E728" s="3">
        <v>0</v>
      </c>
      <c r="F728">
        <v>3</v>
      </c>
      <c r="G728">
        <v>3</v>
      </c>
      <c r="H728" s="4">
        <v>0.3</v>
      </c>
      <c r="I728" t="s">
        <v>33</v>
      </c>
      <c r="J728" t="s">
        <v>33</v>
      </c>
      <c r="L728">
        <f t="shared" si="22"/>
        <v>2020</v>
      </c>
      <c r="M728" t="str">
        <f t="shared" si="23"/>
        <v>COVID Period</v>
      </c>
    </row>
    <row r="729" spans="1:13" x14ac:dyDescent="0.25">
      <c r="A729" s="2">
        <v>43857</v>
      </c>
      <c r="B729" t="s">
        <v>45</v>
      </c>
      <c r="C729">
        <v>1</v>
      </c>
      <c r="D729" s="3">
        <v>15.13</v>
      </c>
      <c r="E729" s="3">
        <v>15.13</v>
      </c>
      <c r="F729">
        <v>3</v>
      </c>
      <c r="G729">
        <v>2</v>
      </c>
      <c r="H729" s="4">
        <v>1.1000000000000001</v>
      </c>
      <c r="I729" t="s">
        <v>46</v>
      </c>
      <c r="J729" t="s">
        <v>46</v>
      </c>
      <c r="L729">
        <f t="shared" si="22"/>
        <v>2020</v>
      </c>
      <c r="M729" t="str">
        <f t="shared" si="23"/>
        <v>COVID Period</v>
      </c>
    </row>
    <row r="730" spans="1:13" x14ac:dyDescent="0.25">
      <c r="A730" s="2">
        <v>43864</v>
      </c>
      <c r="B730" t="s">
        <v>32</v>
      </c>
      <c r="C730">
        <v>26</v>
      </c>
      <c r="D730" s="3">
        <v>6.92</v>
      </c>
      <c r="E730" s="3">
        <v>179.92</v>
      </c>
      <c r="F730">
        <v>31</v>
      </c>
      <c r="G730">
        <v>9</v>
      </c>
      <c r="H730" s="4">
        <v>0.4</v>
      </c>
      <c r="I730" t="s">
        <v>33</v>
      </c>
      <c r="J730" t="s">
        <v>33</v>
      </c>
      <c r="L730">
        <f t="shared" si="22"/>
        <v>2020</v>
      </c>
      <c r="M730" t="str">
        <f t="shared" si="23"/>
        <v>COVID Period</v>
      </c>
    </row>
    <row r="731" spans="1:13" x14ac:dyDescent="0.25">
      <c r="A731" s="2">
        <v>43864</v>
      </c>
      <c r="B731" t="s">
        <v>34</v>
      </c>
      <c r="C731">
        <v>18</v>
      </c>
      <c r="D731" s="3">
        <v>7.4</v>
      </c>
      <c r="E731" s="3">
        <v>133.19999999999999</v>
      </c>
      <c r="F731">
        <v>24</v>
      </c>
      <c r="G731">
        <v>8</v>
      </c>
      <c r="H731" s="4">
        <v>1</v>
      </c>
      <c r="I731" t="s">
        <v>33</v>
      </c>
      <c r="J731" t="s">
        <v>33</v>
      </c>
      <c r="L731">
        <f t="shared" si="22"/>
        <v>2020</v>
      </c>
      <c r="M731" t="str">
        <f t="shared" si="23"/>
        <v>COVID Period</v>
      </c>
    </row>
    <row r="732" spans="1:13" x14ac:dyDescent="0.25">
      <c r="A732" s="2">
        <v>43864</v>
      </c>
      <c r="B732" t="s">
        <v>35</v>
      </c>
      <c r="C732">
        <v>16</v>
      </c>
      <c r="D732" s="3">
        <v>6.16</v>
      </c>
      <c r="E732" s="3">
        <v>98.56</v>
      </c>
      <c r="F732">
        <v>19</v>
      </c>
      <c r="G732">
        <v>3</v>
      </c>
      <c r="H732" s="4">
        <v>1.3</v>
      </c>
      <c r="I732" t="s">
        <v>33</v>
      </c>
      <c r="J732" t="s">
        <v>33</v>
      </c>
      <c r="L732">
        <f t="shared" si="22"/>
        <v>2020</v>
      </c>
      <c r="M732" t="str">
        <f t="shared" si="23"/>
        <v>COVID Period</v>
      </c>
    </row>
    <row r="733" spans="1:13" x14ac:dyDescent="0.25">
      <c r="A733" s="2">
        <v>43864</v>
      </c>
      <c r="B733" t="s">
        <v>36</v>
      </c>
      <c r="C733">
        <v>13</v>
      </c>
      <c r="D733" s="3">
        <v>5.99</v>
      </c>
      <c r="E733" s="3">
        <v>77.87</v>
      </c>
      <c r="F733">
        <v>18</v>
      </c>
      <c r="G733">
        <v>7</v>
      </c>
      <c r="H733" s="4">
        <v>0.9</v>
      </c>
      <c r="I733" t="s">
        <v>33</v>
      </c>
      <c r="J733" t="s">
        <v>33</v>
      </c>
      <c r="L733">
        <f t="shared" si="22"/>
        <v>2020</v>
      </c>
      <c r="M733" t="str">
        <f t="shared" si="23"/>
        <v>COVID Period</v>
      </c>
    </row>
    <row r="734" spans="1:13" x14ac:dyDescent="0.25">
      <c r="A734" s="2">
        <v>43864</v>
      </c>
      <c r="B734" t="s">
        <v>37</v>
      </c>
      <c r="C734">
        <v>29</v>
      </c>
      <c r="D734" s="3">
        <v>3.12</v>
      </c>
      <c r="E734" s="3">
        <v>90.48</v>
      </c>
      <c r="F734">
        <v>32</v>
      </c>
      <c r="G734">
        <v>3</v>
      </c>
      <c r="H734" s="4">
        <v>0.9</v>
      </c>
      <c r="I734" t="s">
        <v>33</v>
      </c>
      <c r="J734" t="s">
        <v>33</v>
      </c>
      <c r="L734">
        <f t="shared" si="22"/>
        <v>2020</v>
      </c>
      <c r="M734" t="str">
        <f t="shared" si="23"/>
        <v>COVID Period</v>
      </c>
    </row>
    <row r="735" spans="1:13" x14ac:dyDescent="0.25">
      <c r="A735" s="2">
        <v>43864</v>
      </c>
      <c r="B735" t="s">
        <v>38</v>
      </c>
      <c r="C735">
        <v>16</v>
      </c>
      <c r="D735" s="3">
        <v>8.91</v>
      </c>
      <c r="E735" s="3">
        <v>142.56</v>
      </c>
      <c r="F735">
        <v>22</v>
      </c>
      <c r="G735">
        <v>8</v>
      </c>
      <c r="H735" s="4">
        <v>1.5</v>
      </c>
      <c r="I735" t="s">
        <v>33</v>
      </c>
      <c r="J735" t="s">
        <v>33</v>
      </c>
      <c r="L735">
        <f t="shared" si="22"/>
        <v>2020</v>
      </c>
      <c r="M735" t="str">
        <f t="shared" si="23"/>
        <v>COVID Period</v>
      </c>
    </row>
    <row r="736" spans="1:13" x14ac:dyDescent="0.25">
      <c r="A736" s="2">
        <v>43864</v>
      </c>
      <c r="B736" t="s">
        <v>39</v>
      </c>
      <c r="C736">
        <v>14</v>
      </c>
      <c r="D736" s="3">
        <v>11.66</v>
      </c>
      <c r="E736" s="3">
        <v>163.24</v>
      </c>
      <c r="F736">
        <v>21</v>
      </c>
      <c r="G736">
        <v>9</v>
      </c>
      <c r="H736" s="4">
        <v>0.7</v>
      </c>
      <c r="I736" t="s">
        <v>33</v>
      </c>
      <c r="J736" t="s">
        <v>33</v>
      </c>
      <c r="L736">
        <f t="shared" si="22"/>
        <v>2020</v>
      </c>
      <c r="M736" t="str">
        <f t="shared" si="23"/>
        <v>COVID Period</v>
      </c>
    </row>
    <row r="737" spans="1:13" x14ac:dyDescent="0.25">
      <c r="A737" s="2">
        <v>43864</v>
      </c>
      <c r="B737" t="s">
        <v>40</v>
      </c>
      <c r="C737">
        <v>10</v>
      </c>
      <c r="D737" s="3">
        <v>0.65</v>
      </c>
      <c r="E737" s="3">
        <v>6.5</v>
      </c>
      <c r="F737">
        <v>15</v>
      </c>
      <c r="G737">
        <v>7</v>
      </c>
      <c r="H737" s="4">
        <v>0.9</v>
      </c>
      <c r="I737" t="s">
        <v>33</v>
      </c>
      <c r="J737" t="s">
        <v>33</v>
      </c>
      <c r="L737">
        <f t="shared" si="22"/>
        <v>2020</v>
      </c>
      <c r="M737" t="str">
        <f t="shared" si="23"/>
        <v>COVID Period</v>
      </c>
    </row>
    <row r="738" spans="1:13" x14ac:dyDescent="0.25">
      <c r="A738" s="2">
        <v>43864</v>
      </c>
      <c r="B738" t="s">
        <v>41</v>
      </c>
      <c r="C738">
        <v>5</v>
      </c>
      <c r="D738" s="3">
        <v>1.41</v>
      </c>
      <c r="E738" s="3">
        <v>7.05</v>
      </c>
      <c r="F738">
        <v>7</v>
      </c>
      <c r="G738">
        <v>2</v>
      </c>
      <c r="H738" s="4">
        <v>0.2</v>
      </c>
      <c r="I738" t="s">
        <v>33</v>
      </c>
      <c r="J738" t="s">
        <v>33</v>
      </c>
      <c r="L738">
        <f t="shared" si="22"/>
        <v>2020</v>
      </c>
      <c r="M738" t="str">
        <f t="shared" si="23"/>
        <v>COVID Period</v>
      </c>
    </row>
    <row r="739" spans="1:13" x14ac:dyDescent="0.25">
      <c r="A739" s="2">
        <v>43864</v>
      </c>
      <c r="B739" t="s">
        <v>42</v>
      </c>
      <c r="C739">
        <v>10</v>
      </c>
      <c r="D739" s="3">
        <v>4.2699999999999996</v>
      </c>
      <c r="E739" s="3">
        <v>42.7</v>
      </c>
      <c r="F739">
        <v>14</v>
      </c>
      <c r="G739">
        <v>4</v>
      </c>
      <c r="H739" s="4">
        <v>1.5</v>
      </c>
      <c r="I739" t="s">
        <v>33</v>
      </c>
      <c r="J739" t="s">
        <v>33</v>
      </c>
      <c r="L739">
        <f t="shared" si="22"/>
        <v>2020</v>
      </c>
      <c r="M739" t="str">
        <f t="shared" si="23"/>
        <v>COVID Period</v>
      </c>
    </row>
    <row r="740" spans="1:13" x14ac:dyDescent="0.25">
      <c r="A740" s="2">
        <v>43864</v>
      </c>
      <c r="B740" t="s">
        <v>43</v>
      </c>
      <c r="C740">
        <v>3</v>
      </c>
      <c r="D740" s="3">
        <v>5.65</v>
      </c>
      <c r="E740" s="3">
        <v>16.95</v>
      </c>
      <c r="F740">
        <v>3</v>
      </c>
      <c r="G740">
        <v>0</v>
      </c>
      <c r="H740" s="4">
        <v>1.1000000000000001</v>
      </c>
      <c r="I740" t="s">
        <v>33</v>
      </c>
      <c r="J740" t="s">
        <v>33</v>
      </c>
      <c r="L740">
        <f t="shared" si="22"/>
        <v>2020</v>
      </c>
      <c r="M740" t="str">
        <f t="shared" si="23"/>
        <v>COVID Period</v>
      </c>
    </row>
    <row r="741" spans="1:13" x14ac:dyDescent="0.25">
      <c r="A741" s="2">
        <v>43864</v>
      </c>
      <c r="B741" t="s">
        <v>44</v>
      </c>
      <c r="C741">
        <v>0</v>
      </c>
      <c r="D741" s="3">
        <v>4.8600000000000003</v>
      </c>
      <c r="E741" s="3">
        <v>0</v>
      </c>
      <c r="F741">
        <v>3</v>
      </c>
      <c r="G741">
        <v>3</v>
      </c>
      <c r="H741" s="4">
        <v>0.7</v>
      </c>
      <c r="I741" t="s">
        <v>33</v>
      </c>
      <c r="J741" t="s">
        <v>33</v>
      </c>
      <c r="L741">
        <f t="shared" si="22"/>
        <v>2020</v>
      </c>
      <c r="M741" t="str">
        <f t="shared" si="23"/>
        <v>COVID Period</v>
      </c>
    </row>
    <row r="742" spans="1:13" x14ac:dyDescent="0.25">
      <c r="A742" s="2">
        <v>43864</v>
      </c>
      <c r="B742" t="s">
        <v>45</v>
      </c>
      <c r="C742">
        <v>0</v>
      </c>
      <c r="D742" s="3">
        <v>14.9</v>
      </c>
      <c r="E742" s="3">
        <v>0</v>
      </c>
      <c r="F742">
        <v>3</v>
      </c>
      <c r="G742">
        <v>3</v>
      </c>
      <c r="H742" s="4">
        <v>0.4</v>
      </c>
      <c r="I742" t="s">
        <v>33</v>
      </c>
      <c r="J742" t="s">
        <v>33</v>
      </c>
      <c r="L742">
        <f t="shared" si="22"/>
        <v>2020</v>
      </c>
      <c r="M742" t="str">
        <f t="shared" si="23"/>
        <v>COVID Period</v>
      </c>
    </row>
    <row r="743" spans="1:13" x14ac:dyDescent="0.25">
      <c r="A743" s="2">
        <v>43871</v>
      </c>
      <c r="B743" t="s">
        <v>32</v>
      </c>
      <c r="C743">
        <v>20</v>
      </c>
      <c r="D743" s="3">
        <v>6.74</v>
      </c>
      <c r="E743" s="3">
        <v>134.80000000000001</v>
      </c>
      <c r="F743">
        <v>31</v>
      </c>
      <c r="G743">
        <v>13</v>
      </c>
      <c r="H743" s="4">
        <v>0.8</v>
      </c>
      <c r="I743" t="s">
        <v>33</v>
      </c>
      <c r="J743" t="s">
        <v>33</v>
      </c>
      <c r="L743">
        <f t="shared" si="22"/>
        <v>2020</v>
      </c>
      <c r="M743" t="str">
        <f t="shared" si="23"/>
        <v>COVID Period</v>
      </c>
    </row>
    <row r="744" spans="1:13" x14ac:dyDescent="0.25">
      <c r="A744" s="2">
        <v>43871</v>
      </c>
      <c r="B744" t="s">
        <v>34</v>
      </c>
      <c r="C744">
        <v>17</v>
      </c>
      <c r="D744" s="3">
        <v>6.86</v>
      </c>
      <c r="E744" s="3">
        <v>116.62</v>
      </c>
      <c r="F744">
        <v>21</v>
      </c>
      <c r="G744">
        <v>4</v>
      </c>
      <c r="H744" s="4">
        <v>0.6</v>
      </c>
      <c r="I744" t="s">
        <v>33</v>
      </c>
      <c r="J744" t="s">
        <v>33</v>
      </c>
      <c r="L744">
        <f t="shared" si="22"/>
        <v>2020</v>
      </c>
      <c r="M744" t="str">
        <f t="shared" si="23"/>
        <v>COVID Period</v>
      </c>
    </row>
    <row r="745" spans="1:13" x14ac:dyDescent="0.25">
      <c r="A745" s="2">
        <v>43871</v>
      </c>
      <c r="B745" t="s">
        <v>35</v>
      </c>
      <c r="C745">
        <v>10</v>
      </c>
      <c r="D745" s="3">
        <v>6.1</v>
      </c>
      <c r="E745" s="3">
        <v>61</v>
      </c>
      <c r="F745">
        <v>16</v>
      </c>
      <c r="G745">
        <v>6</v>
      </c>
      <c r="H745" s="4">
        <v>1.1000000000000001</v>
      </c>
      <c r="I745" t="s">
        <v>33</v>
      </c>
      <c r="J745" t="s">
        <v>33</v>
      </c>
      <c r="L745">
        <f t="shared" si="22"/>
        <v>2020</v>
      </c>
      <c r="M745" t="str">
        <f t="shared" si="23"/>
        <v>COVID Period</v>
      </c>
    </row>
    <row r="746" spans="1:13" x14ac:dyDescent="0.25">
      <c r="A746" s="2">
        <v>43871</v>
      </c>
      <c r="B746" t="s">
        <v>36</v>
      </c>
      <c r="C746">
        <v>11</v>
      </c>
      <c r="D746" s="3">
        <v>6.44</v>
      </c>
      <c r="E746" s="3">
        <v>70.84</v>
      </c>
      <c r="F746">
        <v>14</v>
      </c>
      <c r="G746">
        <v>5</v>
      </c>
      <c r="H746" s="4">
        <v>1.4</v>
      </c>
      <c r="I746" t="s">
        <v>33</v>
      </c>
      <c r="J746" t="s">
        <v>33</v>
      </c>
      <c r="L746">
        <f t="shared" si="22"/>
        <v>2020</v>
      </c>
      <c r="M746" t="str">
        <f t="shared" si="23"/>
        <v>COVID Period</v>
      </c>
    </row>
    <row r="747" spans="1:13" x14ac:dyDescent="0.25">
      <c r="A747" s="2">
        <v>43871</v>
      </c>
      <c r="B747" t="s">
        <v>37</v>
      </c>
      <c r="C747">
        <v>53</v>
      </c>
      <c r="D747" s="3">
        <v>3.26</v>
      </c>
      <c r="E747" s="3">
        <v>172.78</v>
      </c>
      <c r="F747">
        <v>74</v>
      </c>
      <c r="G747">
        <v>34</v>
      </c>
      <c r="H747" s="4">
        <v>1.5</v>
      </c>
      <c r="I747" t="s">
        <v>46</v>
      </c>
      <c r="J747" t="s">
        <v>33</v>
      </c>
      <c r="L747">
        <f t="shared" si="22"/>
        <v>2020</v>
      </c>
      <c r="M747" t="str">
        <f t="shared" si="23"/>
        <v>COVID Period</v>
      </c>
    </row>
    <row r="748" spans="1:13" x14ac:dyDescent="0.25">
      <c r="A748" s="2">
        <v>43871</v>
      </c>
      <c r="B748" t="s">
        <v>38</v>
      </c>
      <c r="C748">
        <v>17</v>
      </c>
      <c r="D748" s="3">
        <v>8.44</v>
      </c>
      <c r="E748" s="3">
        <v>143.47999999999999</v>
      </c>
      <c r="F748">
        <v>18</v>
      </c>
      <c r="G748">
        <v>1</v>
      </c>
      <c r="H748" s="4">
        <v>0.8</v>
      </c>
      <c r="I748" t="s">
        <v>33</v>
      </c>
      <c r="J748" t="s">
        <v>33</v>
      </c>
      <c r="L748">
        <f t="shared" si="22"/>
        <v>2020</v>
      </c>
      <c r="M748" t="str">
        <f t="shared" si="23"/>
        <v>COVID Period</v>
      </c>
    </row>
    <row r="749" spans="1:13" x14ac:dyDescent="0.25">
      <c r="A749" s="2">
        <v>43871</v>
      </c>
      <c r="B749" t="s">
        <v>39</v>
      </c>
      <c r="C749">
        <v>25</v>
      </c>
      <c r="D749" s="3">
        <v>11.68</v>
      </c>
      <c r="E749" s="3">
        <v>292</v>
      </c>
      <c r="F749">
        <v>34</v>
      </c>
      <c r="G749">
        <v>9</v>
      </c>
      <c r="H749" s="4">
        <v>0.9</v>
      </c>
      <c r="I749" t="s">
        <v>33</v>
      </c>
      <c r="J749" t="s">
        <v>33</v>
      </c>
      <c r="L749">
        <f t="shared" si="22"/>
        <v>2020</v>
      </c>
      <c r="M749" t="str">
        <f t="shared" si="23"/>
        <v>COVID Period</v>
      </c>
    </row>
    <row r="750" spans="1:13" x14ac:dyDescent="0.25">
      <c r="A750" s="2">
        <v>43871</v>
      </c>
      <c r="B750" t="s">
        <v>40</v>
      </c>
      <c r="C750">
        <v>11</v>
      </c>
      <c r="D750" s="3">
        <v>0.67</v>
      </c>
      <c r="E750" s="3">
        <v>7.37</v>
      </c>
      <c r="F750">
        <v>12</v>
      </c>
      <c r="G750">
        <v>2</v>
      </c>
      <c r="H750" s="4">
        <v>0.9</v>
      </c>
      <c r="I750" t="s">
        <v>33</v>
      </c>
      <c r="J750" t="s">
        <v>33</v>
      </c>
      <c r="L750">
        <f t="shared" si="22"/>
        <v>2020</v>
      </c>
      <c r="M750" t="str">
        <f t="shared" si="23"/>
        <v>COVID Period</v>
      </c>
    </row>
    <row r="751" spans="1:13" x14ac:dyDescent="0.25">
      <c r="A751" s="2">
        <v>43871</v>
      </c>
      <c r="B751" t="s">
        <v>41</v>
      </c>
      <c r="C751">
        <v>7</v>
      </c>
      <c r="D751" s="3">
        <v>1.3</v>
      </c>
      <c r="E751" s="3">
        <v>9.1</v>
      </c>
      <c r="F751">
        <v>10</v>
      </c>
      <c r="G751">
        <v>4</v>
      </c>
      <c r="H751" s="4">
        <v>0</v>
      </c>
      <c r="I751" t="s">
        <v>33</v>
      </c>
      <c r="J751" t="s">
        <v>33</v>
      </c>
      <c r="L751">
        <f t="shared" si="22"/>
        <v>2020</v>
      </c>
      <c r="M751" t="str">
        <f t="shared" si="23"/>
        <v>COVID Period</v>
      </c>
    </row>
    <row r="752" spans="1:13" x14ac:dyDescent="0.25">
      <c r="A752" s="2">
        <v>43871</v>
      </c>
      <c r="B752" t="s">
        <v>42</v>
      </c>
      <c r="C752">
        <v>7</v>
      </c>
      <c r="D752" s="3">
        <v>4.0999999999999996</v>
      </c>
      <c r="E752" s="3">
        <v>28.7</v>
      </c>
      <c r="F752">
        <v>8</v>
      </c>
      <c r="G752">
        <v>2</v>
      </c>
      <c r="H752" s="4">
        <v>0.4</v>
      </c>
      <c r="I752" t="s">
        <v>33</v>
      </c>
      <c r="J752" t="s">
        <v>33</v>
      </c>
      <c r="L752">
        <f t="shared" si="22"/>
        <v>2020</v>
      </c>
      <c r="M752" t="str">
        <f t="shared" si="23"/>
        <v>COVID Period</v>
      </c>
    </row>
    <row r="753" spans="1:13" x14ac:dyDescent="0.25">
      <c r="A753" s="2">
        <v>43871</v>
      </c>
      <c r="B753" t="s">
        <v>43</v>
      </c>
      <c r="C753">
        <v>5</v>
      </c>
      <c r="D753" s="3">
        <v>5.63</v>
      </c>
      <c r="E753" s="3">
        <v>28.15</v>
      </c>
      <c r="F753">
        <v>7</v>
      </c>
      <c r="G753">
        <v>3</v>
      </c>
      <c r="H753" s="4">
        <v>1</v>
      </c>
      <c r="I753" t="s">
        <v>33</v>
      </c>
      <c r="J753" t="s">
        <v>33</v>
      </c>
      <c r="L753">
        <f t="shared" si="22"/>
        <v>2020</v>
      </c>
      <c r="M753" t="str">
        <f t="shared" si="23"/>
        <v>COVID Period</v>
      </c>
    </row>
    <row r="754" spans="1:13" x14ac:dyDescent="0.25">
      <c r="A754" s="2">
        <v>43871</v>
      </c>
      <c r="B754" t="s">
        <v>44</v>
      </c>
      <c r="C754">
        <v>1</v>
      </c>
      <c r="D754" s="3">
        <v>4.6500000000000004</v>
      </c>
      <c r="E754" s="3">
        <v>4.6500000000000004</v>
      </c>
      <c r="F754">
        <v>3</v>
      </c>
      <c r="G754">
        <v>2</v>
      </c>
      <c r="H754" s="4">
        <v>0.2</v>
      </c>
      <c r="I754" t="s">
        <v>46</v>
      </c>
      <c r="J754" t="s">
        <v>46</v>
      </c>
      <c r="K754" t="s">
        <v>47</v>
      </c>
      <c r="L754">
        <f t="shared" si="22"/>
        <v>2020</v>
      </c>
      <c r="M754" t="str">
        <f t="shared" si="23"/>
        <v>COVID Period</v>
      </c>
    </row>
    <row r="755" spans="1:13" x14ac:dyDescent="0.25">
      <c r="A755" s="2">
        <v>43871</v>
      </c>
      <c r="B755" t="s">
        <v>45</v>
      </c>
      <c r="C755">
        <v>0</v>
      </c>
      <c r="D755" s="3">
        <v>14.74</v>
      </c>
      <c r="E755" s="3">
        <v>0</v>
      </c>
      <c r="F755">
        <v>3</v>
      </c>
      <c r="G755">
        <v>3</v>
      </c>
      <c r="H755" s="4">
        <v>0.8</v>
      </c>
      <c r="I755" t="s">
        <v>33</v>
      </c>
      <c r="J755" t="s">
        <v>33</v>
      </c>
      <c r="L755">
        <f t="shared" si="22"/>
        <v>2020</v>
      </c>
      <c r="M755" t="str">
        <f t="shared" si="23"/>
        <v>COVID Period</v>
      </c>
    </row>
    <row r="756" spans="1:13" x14ac:dyDescent="0.25">
      <c r="A756" s="2">
        <v>43878</v>
      </c>
      <c r="B756" t="s">
        <v>32</v>
      </c>
      <c r="C756">
        <v>24</v>
      </c>
      <c r="D756" s="3">
        <v>6.57</v>
      </c>
      <c r="E756" s="3">
        <v>157.68</v>
      </c>
      <c r="F756">
        <v>25</v>
      </c>
      <c r="G756">
        <v>1</v>
      </c>
      <c r="H756" s="4">
        <v>0.9</v>
      </c>
      <c r="I756" t="s">
        <v>33</v>
      </c>
      <c r="J756" t="s">
        <v>33</v>
      </c>
      <c r="L756">
        <f t="shared" si="22"/>
        <v>2020</v>
      </c>
      <c r="M756" t="str">
        <f t="shared" si="23"/>
        <v>COVID Period</v>
      </c>
    </row>
    <row r="757" spans="1:13" x14ac:dyDescent="0.25">
      <c r="A757" s="2">
        <v>43878</v>
      </c>
      <c r="B757" t="s">
        <v>34</v>
      </c>
      <c r="C757">
        <v>17</v>
      </c>
      <c r="D757" s="3">
        <v>7.26</v>
      </c>
      <c r="E757" s="3">
        <v>123.42</v>
      </c>
      <c r="F757">
        <v>19</v>
      </c>
      <c r="G757">
        <v>5</v>
      </c>
      <c r="H757" s="4">
        <v>0.1</v>
      </c>
      <c r="I757" t="s">
        <v>33</v>
      </c>
      <c r="J757" t="s">
        <v>33</v>
      </c>
      <c r="L757">
        <f t="shared" si="22"/>
        <v>2020</v>
      </c>
      <c r="M757" t="str">
        <f t="shared" si="23"/>
        <v>COVID Period</v>
      </c>
    </row>
    <row r="758" spans="1:13" x14ac:dyDescent="0.25">
      <c r="A758" s="2">
        <v>43878</v>
      </c>
      <c r="B758" t="s">
        <v>35</v>
      </c>
      <c r="C758">
        <v>15</v>
      </c>
      <c r="D758" s="3">
        <v>6.17</v>
      </c>
      <c r="E758" s="3">
        <v>92.55</v>
      </c>
      <c r="F758">
        <v>22</v>
      </c>
      <c r="G758">
        <v>11</v>
      </c>
      <c r="H758" s="4">
        <v>1</v>
      </c>
      <c r="I758" t="s">
        <v>33</v>
      </c>
      <c r="J758" t="s">
        <v>33</v>
      </c>
      <c r="L758">
        <f t="shared" si="22"/>
        <v>2020</v>
      </c>
      <c r="M758" t="str">
        <f t="shared" si="23"/>
        <v>COVID Period</v>
      </c>
    </row>
    <row r="759" spans="1:13" x14ac:dyDescent="0.25">
      <c r="A759" s="2">
        <v>43878</v>
      </c>
      <c r="B759" t="s">
        <v>36</v>
      </c>
      <c r="C759">
        <v>10</v>
      </c>
      <c r="D759" s="3">
        <v>6.47</v>
      </c>
      <c r="E759" s="3">
        <v>64.7</v>
      </c>
      <c r="F759">
        <v>13</v>
      </c>
      <c r="G759">
        <v>3</v>
      </c>
      <c r="H759" s="4">
        <v>1.4</v>
      </c>
      <c r="I759" t="s">
        <v>33</v>
      </c>
      <c r="J759" t="s">
        <v>33</v>
      </c>
      <c r="L759">
        <f t="shared" si="22"/>
        <v>2020</v>
      </c>
      <c r="M759" t="str">
        <f t="shared" si="23"/>
        <v>COVID Period</v>
      </c>
    </row>
    <row r="760" spans="1:13" x14ac:dyDescent="0.25">
      <c r="A760" s="2">
        <v>43878</v>
      </c>
      <c r="B760" t="s">
        <v>37</v>
      </c>
      <c r="C760">
        <v>40</v>
      </c>
      <c r="D760" s="3">
        <v>3.23</v>
      </c>
      <c r="E760" s="3">
        <v>129.19999999999999</v>
      </c>
      <c r="F760">
        <v>51</v>
      </c>
      <c r="G760">
        <v>12</v>
      </c>
      <c r="H760" s="4">
        <v>0.7</v>
      </c>
      <c r="I760" t="s">
        <v>33</v>
      </c>
      <c r="J760" t="s">
        <v>33</v>
      </c>
      <c r="L760">
        <f t="shared" si="22"/>
        <v>2020</v>
      </c>
      <c r="M760" t="str">
        <f t="shared" si="23"/>
        <v>COVID Period</v>
      </c>
    </row>
    <row r="761" spans="1:13" x14ac:dyDescent="0.25">
      <c r="A761" s="2">
        <v>43878</v>
      </c>
      <c r="B761" t="s">
        <v>38</v>
      </c>
      <c r="C761">
        <v>14</v>
      </c>
      <c r="D761" s="3">
        <v>8.7100000000000009</v>
      </c>
      <c r="E761" s="3">
        <v>121.94</v>
      </c>
      <c r="F761">
        <v>21</v>
      </c>
      <c r="G761">
        <v>10</v>
      </c>
      <c r="H761" s="4">
        <v>0.8</v>
      </c>
      <c r="I761" t="s">
        <v>33</v>
      </c>
      <c r="J761" t="s">
        <v>33</v>
      </c>
      <c r="L761">
        <f t="shared" si="22"/>
        <v>2020</v>
      </c>
      <c r="M761" t="str">
        <f t="shared" si="23"/>
        <v>COVID Period</v>
      </c>
    </row>
    <row r="762" spans="1:13" x14ac:dyDescent="0.25">
      <c r="A762" s="2">
        <v>43878</v>
      </c>
      <c r="B762" t="s">
        <v>39</v>
      </c>
      <c r="C762">
        <v>29</v>
      </c>
      <c r="D762" s="3">
        <v>12.07</v>
      </c>
      <c r="E762" s="3">
        <v>350.03</v>
      </c>
      <c r="F762">
        <v>32</v>
      </c>
      <c r="G762">
        <v>4</v>
      </c>
      <c r="H762" s="4">
        <v>0.6</v>
      </c>
      <c r="I762" t="s">
        <v>33</v>
      </c>
      <c r="J762" t="s">
        <v>33</v>
      </c>
      <c r="L762">
        <f t="shared" si="22"/>
        <v>2020</v>
      </c>
      <c r="M762" t="str">
        <f t="shared" si="23"/>
        <v>COVID Period</v>
      </c>
    </row>
    <row r="763" spans="1:13" x14ac:dyDescent="0.25">
      <c r="A763" s="2">
        <v>43878</v>
      </c>
      <c r="B763" t="s">
        <v>40</v>
      </c>
      <c r="C763">
        <v>10</v>
      </c>
      <c r="D763" s="3">
        <v>0.64</v>
      </c>
      <c r="E763" s="3">
        <v>6.4</v>
      </c>
      <c r="F763">
        <v>13</v>
      </c>
      <c r="G763">
        <v>5</v>
      </c>
      <c r="H763" s="4">
        <v>1.2</v>
      </c>
      <c r="I763" t="s">
        <v>33</v>
      </c>
      <c r="J763" t="s">
        <v>33</v>
      </c>
      <c r="L763">
        <f t="shared" si="22"/>
        <v>2020</v>
      </c>
      <c r="M763" t="str">
        <f t="shared" si="23"/>
        <v>COVID Period</v>
      </c>
    </row>
    <row r="764" spans="1:13" x14ac:dyDescent="0.25">
      <c r="A764" s="2">
        <v>43878</v>
      </c>
      <c r="B764" t="s">
        <v>41</v>
      </c>
      <c r="C764">
        <v>8</v>
      </c>
      <c r="D764" s="3">
        <v>1.37</v>
      </c>
      <c r="E764" s="3">
        <v>10.96</v>
      </c>
      <c r="F764">
        <v>11</v>
      </c>
      <c r="G764">
        <v>5</v>
      </c>
      <c r="H764" s="4">
        <v>0.8</v>
      </c>
      <c r="I764" t="s">
        <v>33</v>
      </c>
      <c r="J764" t="s">
        <v>33</v>
      </c>
      <c r="L764">
        <f t="shared" si="22"/>
        <v>2020</v>
      </c>
      <c r="M764" t="str">
        <f t="shared" si="23"/>
        <v>COVID Period</v>
      </c>
    </row>
    <row r="765" spans="1:13" x14ac:dyDescent="0.25">
      <c r="A765" s="2">
        <v>43878</v>
      </c>
      <c r="B765" t="s">
        <v>42</v>
      </c>
      <c r="C765">
        <v>8</v>
      </c>
      <c r="D765" s="3">
        <v>4.37</v>
      </c>
      <c r="E765" s="3">
        <v>34.96</v>
      </c>
      <c r="F765">
        <v>8</v>
      </c>
      <c r="G765">
        <v>0</v>
      </c>
      <c r="H765" s="4">
        <v>0.9</v>
      </c>
      <c r="I765" t="s">
        <v>33</v>
      </c>
      <c r="J765" t="s">
        <v>33</v>
      </c>
      <c r="L765">
        <f t="shared" si="22"/>
        <v>2020</v>
      </c>
      <c r="M765" t="str">
        <f t="shared" si="23"/>
        <v>COVID Period</v>
      </c>
    </row>
    <row r="766" spans="1:13" x14ac:dyDescent="0.25">
      <c r="A766" s="2">
        <v>43878</v>
      </c>
      <c r="B766" t="s">
        <v>43</v>
      </c>
      <c r="C766">
        <v>6</v>
      </c>
      <c r="D766" s="3">
        <v>5.69</v>
      </c>
      <c r="E766" s="3">
        <v>34.14</v>
      </c>
      <c r="F766">
        <v>9</v>
      </c>
      <c r="G766">
        <v>4</v>
      </c>
      <c r="H766" s="4">
        <v>0.8</v>
      </c>
      <c r="I766" t="s">
        <v>33</v>
      </c>
      <c r="J766" t="s">
        <v>33</v>
      </c>
      <c r="L766">
        <f t="shared" si="22"/>
        <v>2020</v>
      </c>
      <c r="M766" t="str">
        <f t="shared" si="23"/>
        <v>COVID Period</v>
      </c>
    </row>
    <row r="767" spans="1:13" x14ac:dyDescent="0.25">
      <c r="A767" s="2">
        <v>43878</v>
      </c>
      <c r="B767" t="s">
        <v>44</v>
      </c>
      <c r="C767">
        <v>0</v>
      </c>
      <c r="D767" s="3">
        <v>4.76</v>
      </c>
      <c r="E767" s="3">
        <v>0</v>
      </c>
      <c r="F767">
        <v>3</v>
      </c>
      <c r="G767">
        <v>3</v>
      </c>
      <c r="H767" s="4">
        <v>1.6</v>
      </c>
      <c r="I767" t="s">
        <v>33</v>
      </c>
      <c r="J767" t="s">
        <v>33</v>
      </c>
      <c r="L767">
        <f t="shared" si="22"/>
        <v>2020</v>
      </c>
      <c r="M767" t="str">
        <f t="shared" si="23"/>
        <v>COVID Period</v>
      </c>
    </row>
    <row r="768" spans="1:13" x14ac:dyDescent="0.25">
      <c r="A768" s="2">
        <v>43878</v>
      </c>
      <c r="B768" t="s">
        <v>45</v>
      </c>
      <c r="C768">
        <v>0</v>
      </c>
      <c r="D768" s="3">
        <v>14.43</v>
      </c>
      <c r="E768" s="3">
        <v>0</v>
      </c>
      <c r="F768">
        <v>3</v>
      </c>
      <c r="G768">
        <v>3</v>
      </c>
      <c r="H768" s="4">
        <v>0.3</v>
      </c>
      <c r="I768" t="s">
        <v>33</v>
      </c>
      <c r="J768" t="s">
        <v>33</v>
      </c>
      <c r="L768">
        <f t="shared" si="22"/>
        <v>2020</v>
      </c>
      <c r="M768" t="str">
        <f t="shared" si="23"/>
        <v>COVID Period</v>
      </c>
    </row>
    <row r="769" spans="1:13" x14ac:dyDescent="0.25">
      <c r="A769" s="2">
        <v>43885</v>
      </c>
      <c r="B769" t="s">
        <v>32</v>
      </c>
      <c r="C769">
        <v>25</v>
      </c>
      <c r="D769" s="3">
        <v>6.84</v>
      </c>
      <c r="E769" s="3">
        <v>171</v>
      </c>
      <c r="F769">
        <v>32</v>
      </c>
      <c r="G769">
        <v>8</v>
      </c>
      <c r="H769" s="4">
        <v>0.4</v>
      </c>
      <c r="I769" t="s">
        <v>33</v>
      </c>
      <c r="J769" t="s">
        <v>33</v>
      </c>
      <c r="L769">
        <f t="shared" si="22"/>
        <v>2020</v>
      </c>
      <c r="M769" t="str">
        <f t="shared" si="23"/>
        <v>COVID Period</v>
      </c>
    </row>
    <row r="770" spans="1:13" x14ac:dyDescent="0.25">
      <c r="A770" s="2">
        <v>43885</v>
      </c>
      <c r="B770" t="s">
        <v>34</v>
      </c>
      <c r="C770">
        <v>13</v>
      </c>
      <c r="D770" s="3">
        <v>7.16</v>
      </c>
      <c r="E770" s="3">
        <v>93.08</v>
      </c>
      <c r="F770">
        <v>14</v>
      </c>
      <c r="G770">
        <v>2</v>
      </c>
      <c r="H770" s="4">
        <v>0.2</v>
      </c>
      <c r="I770" t="s">
        <v>33</v>
      </c>
      <c r="J770" t="s">
        <v>33</v>
      </c>
      <c r="L770">
        <f t="shared" ref="L770:L833" si="24">YEAR(A770)</f>
        <v>2020</v>
      </c>
      <c r="M770" t="str">
        <f t="shared" ref="M770:M833" si="25">IF(L770=2019,"Pre-COVID","COVID Period")</f>
        <v>COVID Period</v>
      </c>
    </row>
    <row r="771" spans="1:13" x14ac:dyDescent="0.25">
      <c r="A771" s="2">
        <v>43885</v>
      </c>
      <c r="B771" t="s">
        <v>35</v>
      </c>
      <c r="C771">
        <v>10</v>
      </c>
      <c r="D771" s="3">
        <v>6.03</v>
      </c>
      <c r="E771" s="3">
        <v>60.3</v>
      </c>
      <c r="F771">
        <v>13</v>
      </c>
      <c r="G771">
        <v>5</v>
      </c>
      <c r="H771" s="4">
        <v>1.5</v>
      </c>
      <c r="I771" t="s">
        <v>33</v>
      </c>
      <c r="J771" t="s">
        <v>33</v>
      </c>
      <c r="L771">
        <f t="shared" si="24"/>
        <v>2020</v>
      </c>
      <c r="M771" t="str">
        <f t="shared" si="25"/>
        <v>COVID Period</v>
      </c>
    </row>
    <row r="772" spans="1:13" x14ac:dyDescent="0.25">
      <c r="A772" s="2">
        <v>43885</v>
      </c>
      <c r="B772" t="s">
        <v>36</v>
      </c>
      <c r="C772">
        <v>13</v>
      </c>
      <c r="D772" s="3">
        <v>6.31</v>
      </c>
      <c r="E772" s="3">
        <v>82.03</v>
      </c>
      <c r="F772">
        <v>14</v>
      </c>
      <c r="G772">
        <v>1</v>
      </c>
      <c r="H772" s="4">
        <v>1.8</v>
      </c>
      <c r="I772" t="s">
        <v>33</v>
      </c>
      <c r="J772" t="s">
        <v>33</v>
      </c>
      <c r="L772">
        <f t="shared" si="24"/>
        <v>2020</v>
      </c>
      <c r="M772" t="str">
        <f t="shared" si="25"/>
        <v>COVID Period</v>
      </c>
    </row>
    <row r="773" spans="1:13" x14ac:dyDescent="0.25">
      <c r="A773" s="2">
        <v>43885</v>
      </c>
      <c r="B773" t="s">
        <v>37</v>
      </c>
      <c r="C773">
        <v>31</v>
      </c>
      <c r="D773" s="3">
        <v>3.18</v>
      </c>
      <c r="E773" s="3">
        <v>98.58</v>
      </c>
      <c r="F773">
        <v>40</v>
      </c>
      <c r="G773">
        <v>14</v>
      </c>
      <c r="H773" s="4">
        <v>0.8</v>
      </c>
      <c r="I773" t="s">
        <v>33</v>
      </c>
      <c r="J773" t="s">
        <v>33</v>
      </c>
      <c r="L773">
        <f t="shared" si="24"/>
        <v>2020</v>
      </c>
      <c r="M773" t="str">
        <f t="shared" si="25"/>
        <v>COVID Period</v>
      </c>
    </row>
    <row r="774" spans="1:13" x14ac:dyDescent="0.25">
      <c r="A774" s="2">
        <v>43885</v>
      </c>
      <c r="B774" t="s">
        <v>38</v>
      </c>
      <c r="C774">
        <v>15</v>
      </c>
      <c r="D774" s="3">
        <v>8.7799999999999994</v>
      </c>
      <c r="E774" s="3">
        <v>131.69999999999999</v>
      </c>
      <c r="F774">
        <v>20</v>
      </c>
      <c r="G774">
        <v>5</v>
      </c>
      <c r="H774" s="4">
        <v>1.8</v>
      </c>
      <c r="I774" t="s">
        <v>33</v>
      </c>
      <c r="J774" t="s">
        <v>33</v>
      </c>
      <c r="L774">
        <f t="shared" si="24"/>
        <v>2020</v>
      </c>
      <c r="M774" t="str">
        <f t="shared" si="25"/>
        <v>COVID Period</v>
      </c>
    </row>
    <row r="775" spans="1:13" x14ac:dyDescent="0.25">
      <c r="A775" s="2">
        <v>43885</v>
      </c>
      <c r="B775" t="s">
        <v>39</v>
      </c>
      <c r="C775">
        <v>24</v>
      </c>
      <c r="D775" s="3">
        <v>11.65</v>
      </c>
      <c r="E775" s="3">
        <v>279.60000000000002</v>
      </c>
      <c r="F775">
        <v>36</v>
      </c>
      <c r="G775">
        <v>14</v>
      </c>
      <c r="H775" s="4">
        <v>0.9</v>
      </c>
      <c r="I775" t="s">
        <v>33</v>
      </c>
      <c r="J775" t="s">
        <v>33</v>
      </c>
      <c r="L775">
        <f t="shared" si="24"/>
        <v>2020</v>
      </c>
      <c r="M775" t="str">
        <f t="shared" si="25"/>
        <v>COVID Period</v>
      </c>
    </row>
    <row r="776" spans="1:13" x14ac:dyDescent="0.25">
      <c r="A776" s="2">
        <v>43885</v>
      </c>
      <c r="B776" t="s">
        <v>40</v>
      </c>
      <c r="C776">
        <v>8</v>
      </c>
      <c r="D776" s="3">
        <v>0.64</v>
      </c>
      <c r="E776" s="3">
        <v>5.12</v>
      </c>
      <c r="F776">
        <v>9</v>
      </c>
      <c r="G776">
        <v>2</v>
      </c>
      <c r="H776" s="4">
        <v>1.2</v>
      </c>
      <c r="I776" t="s">
        <v>33</v>
      </c>
      <c r="J776" t="s">
        <v>33</v>
      </c>
      <c r="L776">
        <f t="shared" si="24"/>
        <v>2020</v>
      </c>
      <c r="M776" t="str">
        <f t="shared" si="25"/>
        <v>COVID Period</v>
      </c>
    </row>
    <row r="777" spans="1:13" x14ac:dyDescent="0.25">
      <c r="A777" s="2">
        <v>43885</v>
      </c>
      <c r="B777" t="s">
        <v>41</v>
      </c>
      <c r="C777">
        <v>9</v>
      </c>
      <c r="D777" s="3">
        <v>1.41</v>
      </c>
      <c r="E777" s="3">
        <v>12.69</v>
      </c>
      <c r="F777">
        <v>10</v>
      </c>
      <c r="G777">
        <v>2</v>
      </c>
      <c r="H777" s="4">
        <v>0.9</v>
      </c>
      <c r="I777" t="s">
        <v>33</v>
      </c>
      <c r="J777" t="s">
        <v>33</v>
      </c>
      <c r="L777">
        <f t="shared" si="24"/>
        <v>2020</v>
      </c>
      <c r="M777" t="str">
        <f t="shared" si="25"/>
        <v>COVID Period</v>
      </c>
    </row>
    <row r="778" spans="1:13" x14ac:dyDescent="0.25">
      <c r="A778" s="2">
        <v>43885</v>
      </c>
      <c r="B778" t="s">
        <v>42</v>
      </c>
      <c r="C778">
        <v>10</v>
      </c>
      <c r="D778" s="3">
        <v>4.16</v>
      </c>
      <c r="E778" s="3">
        <v>41.6</v>
      </c>
      <c r="F778">
        <v>13</v>
      </c>
      <c r="G778">
        <v>3</v>
      </c>
      <c r="H778" s="4">
        <v>0.7</v>
      </c>
      <c r="I778" t="s">
        <v>33</v>
      </c>
      <c r="J778" t="s">
        <v>33</v>
      </c>
      <c r="L778">
        <f t="shared" si="24"/>
        <v>2020</v>
      </c>
      <c r="M778" t="str">
        <f t="shared" si="25"/>
        <v>COVID Period</v>
      </c>
    </row>
    <row r="779" spans="1:13" x14ac:dyDescent="0.25">
      <c r="A779" s="2">
        <v>43885</v>
      </c>
      <c r="B779" t="s">
        <v>43</v>
      </c>
      <c r="C779">
        <v>4</v>
      </c>
      <c r="D779" s="3">
        <v>5.59</v>
      </c>
      <c r="E779" s="3">
        <v>22.36</v>
      </c>
      <c r="F779">
        <v>5</v>
      </c>
      <c r="G779">
        <v>2</v>
      </c>
      <c r="H779" s="4">
        <v>0.8</v>
      </c>
      <c r="I779" t="s">
        <v>33</v>
      </c>
      <c r="J779" t="s">
        <v>33</v>
      </c>
      <c r="L779">
        <f t="shared" si="24"/>
        <v>2020</v>
      </c>
      <c r="M779" t="str">
        <f t="shared" si="25"/>
        <v>COVID Period</v>
      </c>
    </row>
    <row r="780" spans="1:13" x14ac:dyDescent="0.25">
      <c r="A780" s="2">
        <v>43885</v>
      </c>
      <c r="B780" t="s">
        <v>44</v>
      </c>
      <c r="C780">
        <v>2</v>
      </c>
      <c r="D780" s="3">
        <v>4.99</v>
      </c>
      <c r="E780" s="3">
        <v>9.98</v>
      </c>
      <c r="F780">
        <v>3</v>
      </c>
      <c r="G780">
        <v>1</v>
      </c>
      <c r="H780" s="4">
        <v>0.6</v>
      </c>
      <c r="I780" t="s">
        <v>46</v>
      </c>
      <c r="J780" t="s">
        <v>46</v>
      </c>
      <c r="K780" t="s">
        <v>47</v>
      </c>
      <c r="L780">
        <f t="shared" si="24"/>
        <v>2020</v>
      </c>
      <c r="M780" t="str">
        <f t="shared" si="25"/>
        <v>COVID Period</v>
      </c>
    </row>
    <row r="781" spans="1:13" x14ac:dyDescent="0.25">
      <c r="A781" s="2">
        <v>43885</v>
      </c>
      <c r="B781" t="s">
        <v>45</v>
      </c>
      <c r="C781">
        <v>0</v>
      </c>
      <c r="D781" s="3">
        <v>14.9</v>
      </c>
      <c r="E781" s="3">
        <v>0</v>
      </c>
      <c r="F781">
        <v>3</v>
      </c>
      <c r="G781">
        <v>3</v>
      </c>
      <c r="H781" s="4">
        <v>1.3</v>
      </c>
      <c r="I781" t="s">
        <v>33</v>
      </c>
      <c r="J781" t="s">
        <v>33</v>
      </c>
      <c r="L781">
        <f t="shared" si="24"/>
        <v>2020</v>
      </c>
      <c r="M781" t="str">
        <f t="shared" si="25"/>
        <v>COVID Period</v>
      </c>
    </row>
    <row r="782" spans="1:13" x14ac:dyDescent="0.25">
      <c r="A782" s="2">
        <v>43892</v>
      </c>
      <c r="B782" t="s">
        <v>32</v>
      </c>
      <c r="C782">
        <v>29</v>
      </c>
      <c r="D782" s="3">
        <v>6.94</v>
      </c>
      <c r="E782" s="3">
        <v>201.26</v>
      </c>
      <c r="F782">
        <v>32</v>
      </c>
      <c r="G782">
        <v>3</v>
      </c>
      <c r="H782" s="4">
        <v>1.8</v>
      </c>
      <c r="I782" t="s">
        <v>33</v>
      </c>
      <c r="J782" t="s">
        <v>33</v>
      </c>
      <c r="L782">
        <f t="shared" si="24"/>
        <v>2020</v>
      </c>
      <c r="M782" t="str">
        <f t="shared" si="25"/>
        <v>COVID Period</v>
      </c>
    </row>
    <row r="783" spans="1:13" x14ac:dyDescent="0.25">
      <c r="A783" s="2">
        <v>43892</v>
      </c>
      <c r="B783" t="s">
        <v>34</v>
      </c>
      <c r="C783">
        <v>19</v>
      </c>
      <c r="D783" s="3">
        <v>7.1</v>
      </c>
      <c r="E783" s="3">
        <v>134.9</v>
      </c>
      <c r="F783">
        <v>26</v>
      </c>
      <c r="G783">
        <v>11</v>
      </c>
      <c r="H783" s="4">
        <v>0.7</v>
      </c>
      <c r="I783" t="s">
        <v>33</v>
      </c>
      <c r="J783" t="s">
        <v>33</v>
      </c>
      <c r="L783">
        <f t="shared" si="24"/>
        <v>2020</v>
      </c>
      <c r="M783" t="str">
        <f t="shared" si="25"/>
        <v>COVID Period</v>
      </c>
    </row>
    <row r="784" spans="1:13" x14ac:dyDescent="0.25">
      <c r="A784" s="2">
        <v>43892</v>
      </c>
      <c r="B784" t="s">
        <v>35</v>
      </c>
      <c r="C784">
        <v>17</v>
      </c>
      <c r="D784" s="3">
        <v>5.67</v>
      </c>
      <c r="E784" s="3">
        <v>96.39</v>
      </c>
      <c r="F784">
        <v>27</v>
      </c>
      <c r="G784">
        <v>12</v>
      </c>
      <c r="H784" s="4">
        <v>2.5</v>
      </c>
      <c r="I784" t="s">
        <v>33</v>
      </c>
      <c r="J784" t="s">
        <v>33</v>
      </c>
      <c r="L784">
        <f t="shared" si="24"/>
        <v>2020</v>
      </c>
      <c r="M784" t="str">
        <f t="shared" si="25"/>
        <v>COVID Period</v>
      </c>
    </row>
    <row r="785" spans="1:13" x14ac:dyDescent="0.25">
      <c r="A785" s="2">
        <v>43892</v>
      </c>
      <c r="B785" t="s">
        <v>36</v>
      </c>
      <c r="C785">
        <v>17</v>
      </c>
      <c r="D785" s="3">
        <v>6.12</v>
      </c>
      <c r="E785" s="3">
        <v>104.04</v>
      </c>
      <c r="F785">
        <v>23</v>
      </c>
      <c r="G785">
        <v>7</v>
      </c>
      <c r="H785" s="4">
        <v>2</v>
      </c>
      <c r="I785" t="s">
        <v>33</v>
      </c>
      <c r="J785" t="s">
        <v>33</v>
      </c>
      <c r="L785">
        <f t="shared" si="24"/>
        <v>2020</v>
      </c>
      <c r="M785" t="str">
        <f t="shared" si="25"/>
        <v>COVID Period</v>
      </c>
    </row>
    <row r="786" spans="1:13" x14ac:dyDescent="0.25">
      <c r="A786" s="2">
        <v>43892</v>
      </c>
      <c r="B786" t="s">
        <v>37</v>
      </c>
      <c r="C786">
        <v>38</v>
      </c>
      <c r="D786" s="3">
        <v>3.27</v>
      </c>
      <c r="E786" s="3">
        <v>124.26</v>
      </c>
      <c r="F786">
        <v>44</v>
      </c>
      <c r="G786">
        <v>14</v>
      </c>
      <c r="H786" s="4">
        <v>1.5</v>
      </c>
      <c r="I786" t="s">
        <v>33</v>
      </c>
      <c r="J786" t="s">
        <v>33</v>
      </c>
      <c r="L786">
        <f t="shared" si="24"/>
        <v>2020</v>
      </c>
      <c r="M786" t="str">
        <f t="shared" si="25"/>
        <v>COVID Period</v>
      </c>
    </row>
    <row r="787" spans="1:13" x14ac:dyDescent="0.25">
      <c r="A787" s="2">
        <v>43892</v>
      </c>
      <c r="B787" t="s">
        <v>38</v>
      </c>
      <c r="C787">
        <v>24</v>
      </c>
      <c r="D787" s="3">
        <v>8.51</v>
      </c>
      <c r="E787" s="3">
        <v>204.24</v>
      </c>
      <c r="F787">
        <v>36</v>
      </c>
      <c r="G787">
        <v>17</v>
      </c>
      <c r="H787" s="4">
        <v>2.6</v>
      </c>
      <c r="I787" t="s">
        <v>33</v>
      </c>
      <c r="J787" t="s">
        <v>33</v>
      </c>
      <c r="L787">
        <f t="shared" si="24"/>
        <v>2020</v>
      </c>
      <c r="M787" t="str">
        <f t="shared" si="25"/>
        <v>COVID Period</v>
      </c>
    </row>
    <row r="788" spans="1:13" x14ac:dyDescent="0.25">
      <c r="A788" s="2">
        <v>43892</v>
      </c>
      <c r="B788" t="s">
        <v>39</v>
      </c>
      <c r="C788">
        <v>44</v>
      </c>
      <c r="D788" s="3">
        <v>12.04</v>
      </c>
      <c r="E788" s="3">
        <v>529.76</v>
      </c>
      <c r="F788">
        <v>50</v>
      </c>
      <c r="G788">
        <v>14</v>
      </c>
      <c r="H788" s="4">
        <v>2.2000000000000002</v>
      </c>
      <c r="I788" t="s">
        <v>46</v>
      </c>
      <c r="J788" t="s">
        <v>33</v>
      </c>
      <c r="K788" t="s">
        <v>48</v>
      </c>
      <c r="L788">
        <f t="shared" si="24"/>
        <v>2020</v>
      </c>
      <c r="M788" t="str">
        <f t="shared" si="25"/>
        <v>COVID Period</v>
      </c>
    </row>
    <row r="789" spans="1:13" x14ac:dyDescent="0.25">
      <c r="A789" s="2">
        <v>43892</v>
      </c>
      <c r="B789" t="s">
        <v>40</v>
      </c>
      <c r="C789">
        <v>38</v>
      </c>
      <c r="D789" s="3">
        <v>0.66</v>
      </c>
      <c r="E789" s="3">
        <v>25.08</v>
      </c>
      <c r="F789">
        <v>59</v>
      </c>
      <c r="G789">
        <v>24</v>
      </c>
      <c r="H789" s="4">
        <v>4.7</v>
      </c>
      <c r="I789" t="s">
        <v>46</v>
      </c>
      <c r="J789" t="s">
        <v>33</v>
      </c>
      <c r="K789" t="s">
        <v>47</v>
      </c>
      <c r="L789">
        <f t="shared" si="24"/>
        <v>2020</v>
      </c>
      <c r="M789" t="str">
        <f t="shared" si="25"/>
        <v>COVID Period</v>
      </c>
    </row>
    <row r="790" spans="1:13" x14ac:dyDescent="0.25">
      <c r="A790" s="2">
        <v>43892</v>
      </c>
      <c r="B790" t="s">
        <v>41</v>
      </c>
      <c r="C790">
        <v>22</v>
      </c>
      <c r="D790" s="3">
        <v>1.41</v>
      </c>
      <c r="E790" s="3">
        <v>31.02</v>
      </c>
      <c r="F790">
        <v>28</v>
      </c>
      <c r="G790">
        <v>6</v>
      </c>
      <c r="H790" s="4">
        <v>3.8</v>
      </c>
      <c r="I790" t="s">
        <v>46</v>
      </c>
      <c r="J790" t="s">
        <v>33</v>
      </c>
      <c r="K790" t="s">
        <v>47</v>
      </c>
      <c r="L790">
        <f t="shared" si="24"/>
        <v>2020</v>
      </c>
      <c r="M790" t="str">
        <f t="shared" si="25"/>
        <v>COVID Period</v>
      </c>
    </row>
    <row r="791" spans="1:13" x14ac:dyDescent="0.25">
      <c r="A791" s="2">
        <v>43892</v>
      </c>
      <c r="B791" t="s">
        <v>42</v>
      </c>
      <c r="C791">
        <v>36</v>
      </c>
      <c r="D791" s="3">
        <v>4.09</v>
      </c>
      <c r="E791" s="3">
        <v>147.24</v>
      </c>
      <c r="F791">
        <v>52</v>
      </c>
      <c r="G791">
        <v>21</v>
      </c>
      <c r="H791" s="4">
        <v>2.1</v>
      </c>
      <c r="I791" t="s">
        <v>46</v>
      </c>
      <c r="J791" t="s">
        <v>33</v>
      </c>
      <c r="K791" t="s">
        <v>47</v>
      </c>
      <c r="L791">
        <f t="shared" si="24"/>
        <v>2020</v>
      </c>
      <c r="M791" t="str">
        <f t="shared" si="25"/>
        <v>COVID Period</v>
      </c>
    </row>
    <row r="792" spans="1:13" x14ac:dyDescent="0.25">
      <c r="A792" s="2">
        <v>43892</v>
      </c>
      <c r="B792" t="s">
        <v>43</v>
      </c>
      <c r="C792">
        <v>23</v>
      </c>
      <c r="D792" s="3">
        <v>5.46</v>
      </c>
      <c r="E792" s="3">
        <v>125.58</v>
      </c>
      <c r="F792">
        <v>37</v>
      </c>
      <c r="G792">
        <v>16</v>
      </c>
      <c r="H792" s="4">
        <v>3.8</v>
      </c>
      <c r="I792" t="s">
        <v>46</v>
      </c>
      <c r="J792" t="s">
        <v>33</v>
      </c>
      <c r="L792">
        <f t="shared" si="24"/>
        <v>2020</v>
      </c>
      <c r="M792" t="str">
        <f t="shared" si="25"/>
        <v>COVID Period</v>
      </c>
    </row>
    <row r="793" spans="1:13" x14ac:dyDescent="0.25">
      <c r="A793" s="2">
        <v>43892</v>
      </c>
      <c r="B793" t="s">
        <v>44</v>
      </c>
      <c r="C793">
        <v>0</v>
      </c>
      <c r="D793" s="3">
        <v>4.7699999999999996</v>
      </c>
      <c r="E793" s="3">
        <v>0</v>
      </c>
      <c r="F793">
        <v>3</v>
      </c>
      <c r="G793">
        <v>4</v>
      </c>
      <c r="H793" s="4">
        <v>3</v>
      </c>
      <c r="I793" t="s">
        <v>33</v>
      </c>
      <c r="J793" t="s">
        <v>33</v>
      </c>
      <c r="L793">
        <f t="shared" si="24"/>
        <v>2020</v>
      </c>
      <c r="M793" t="str">
        <f t="shared" si="25"/>
        <v>COVID Period</v>
      </c>
    </row>
    <row r="794" spans="1:13" x14ac:dyDescent="0.25">
      <c r="A794" s="2">
        <v>43892</v>
      </c>
      <c r="B794" t="s">
        <v>45</v>
      </c>
      <c r="C794">
        <v>0</v>
      </c>
      <c r="D794" s="3">
        <v>15.42</v>
      </c>
      <c r="E794" s="3">
        <v>0</v>
      </c>
      <c r="F794">
        <v>3</v>
      </c>
      <c r="G794">
        <v>3</v>
      </c>
      <c r="H794" s="4">
        <v>2.7</v>
      </c>
      <c r="I794" t="s">
        <v>33</v>
      </c>
      <c r="J794" t="s">
        <v>33</v>
      </c>
      <c r="L794">
        <f t="shared" si="24"/>
        <v>2020</v>
      </c>
      <c r="M794" t="str">
        <f t="shared" si="25"/>
        <v>COVID Period</v>
      </c>
    </row>
    <row r="795" spans="1:13" x14ac:dyDescent="0.25">
      <c r="A795" s="2">
        <v>43899</v>
      </c>
      <c r="B795" t="s">
        <v>32</v>
      </c>
      <c r="C795">
        <v>35</v>
      </c>
      <c r="D795" s="3">
        <v>6.86</v>
      </c>
      <c r="E795" s="3">
        <v>240.1</v>
      </c>
      <c r="F795">
        <v>54</v>
      </c>
      <c r="G795">
        <v>27</v>
      </c>
      <c r="H795" s="4">
        <v>2.1</v>
      </c>
      <c r="I795" t="s">
        <v>46</v>
      </c>
      <c r="J795" t="s">
        <v>33</v>
      </c>
      <c r="L795">
        <f t="shared" si="24"/>
        <v>2020</v>
      </c>
      <c r="M795" t="str">
        <f t="shared" si="25"/>
        <v>COVID Period</v>
      </c>
    </row>
    <row r="796" spans="1:13" x14ac:dyDescent="0.25">
      <c r="A796" s="2">
        <v>43899</v>
      </c>
      <c r="B796" t="s">
        <v>34</v>
      </c>
      <c r="C796">
        <v>29</v>
      </c>
      <c r="D796" s="3">
        <v>7.34</v>
      </c>
      <c r="E796" s="3">
        <v>212.86</v>
      </c>
      <c r="F796">
        <v>34</v>
      </c>
      <c r="G796">
        <v>9</v>
      </c>
      <c r="H796" s="4">
        <v>2.2999999999999998</v>
      </c>
      <c r="I796" t="s">
        <v>46</v>
      </c>
      <c r="J796" t="s">
        <v>33</v>
      </c>
      <c r="L796">
        <f t="shared" si="24"/>
        <v>2020</v>
      </c>
      <c r="M796" t="str">
        <f t="shared" si="25"/>
        <v>COVID Period</v>
      </c>
    </row>
    <row r="797" spans="1:13" x14ac:dyDescent="0.25">
      <c r="A797" s="2">
        <v>43899</v>
      </c>
      <c r="B797" t="s">
        <v>35</v>
      </c>
      <c r="C797">
        <v>18</v>
      </c>
      <c r="D797" s="3">
        <v>5.73</v>
      </c>
      <c r="E797" s="3">
        <v>103.14</v>
      </c>
      <c r="F797">
        <v>21</v>
      </c>
      <c r="G797">
        <v>5</v>
      </c>
      <c r="H797" s="4">
        <v>0.8</v>
      </c>
      <c r="I797" t="s">
        <v>33</v>
      </c>
      <c r="J797" t="s">
        <v>33</v>
      </c>
      <c r="L797">
        <f t="shared" si="24"/>
        <v>2020</v>
      </c>
      <c r="M797" t="str">
        <f t="shared" si="25"/>
        <v>COVID Period</v>
      </c>
    </row>
    <row r="798" spans="1:13" x14ac:dyDescent="0.25">
      <c r="A798" s="2">
        <v>43899</v>
      </c>
      <c r="B798" t="s">
        <v>36</v>
      </c>
      <c r="C798">
        <v>14</v>
      </c>
      <c r="D798" s="3">
        <v>6.32</v>
      </c>
      <c r="E798" s="3">
        <v>88.48</v>
      </c>
      <c r="F798">
        <v>20</v>
      </c>
      <c r="G798">
        <v>7</v>
      </c>
      <c r="H798" s="4">
        <v>1.7</v>
      </c>
      <c r="I798" t="s">
        <v>33</v>
      </c>
      <c r="J798" t="s">
        <v>33</v>
      </c>
      <c r="L798">
        <f t="shared" si="24"/>
        <v>2020</v>
      </c>
      <c r="M798" t="str">
        <f t="shared" si="25"/>
        <v>COVID Period</v>
      </c>
    </row>
    <row r="799" spans="1:13" x14ac:dyDescent="0.25">
      <c r="A799" s="2">
        <v>43899</v>
      </c>
      <c r="B799" t="s">
        <v>37</v>
      </c>
      <c r="C799">
        <v>38</v>
      </c>
      <c r="D799" s="3">
        <v>3.15</v>
      </c>
      <c r="E799" s="3">
        <v>119.7</v>
      </c>
      <c r="F799">
        <v>54</v>
      </c>
      <c r="G799">
        <v>23</v>
      </c>
      <c r="H799" s="4">
        <v>2.1</v>
      </c>
      <c r="I799" t="s">
        <v>33</v>
      </c>
      <c r="J799" t="s">
        <v>33</v>
      </c>
      <c r="L799">
        <f t="shared" si="24"/>
        <v>2020</v>
      </c>
      <c r="M799" t="str">
        <f t="shared" si="25"/>
        <v>COVID Period</v>
      </c>
    </row>
    <row r="800" spans="1:13" x14ac:dyDescent="0.25">
      <c r="A800" s="2">
        <v>43899</v>
      </c>
      <c r="B800" t="s">
        <v>38</v>
      </c>
      <c r="C800">
        <v>8</v>
      </c>
      <c r="D800" s="3">
        <v>8.76</v>
      </c>
      <c r="E800" s="3">
        <v>70.08</v>
      </c>
      <c r="F800">
        <v>11</v>
      </c>
      <c r="G800">
        <v>5</v>
      </c>
      <c r="H800" s="4">
        <v>1.8</v>
      </c>
      <c r="I800" t="s">
        <v>33</v>
      </c>
      <c r="J800" t="s">
        <v>33</v>
      </c>
      <c r="L800">
        <f t="shared" si="24"/>
        <v>2020</v>
      </c>
      <c r="M800" t="str">
        <f t="shared" si="25"/>
        <v>COVID Period</v>
      </c>
    </row>
    <row r="801" spans="1:13" x14ac:dyDescent="0.25">
      <c r="A801" s="2">
        <v>43899</v>
      </c>
      <c r="B801" t="s">
        <v>39</v>
      </c>
      <c r="C801">
        <v>37</v>
      </c>
      <c r="D801" s="3">
        <v>12.03</v>
      </c>
      <c r="E801" s="3">
        <v>445.11</v>
      </c>
      <c r="F801">
        <v>53</v>
      </c>
      <c r="G801">
        <v>17</v>
      </c>
      <c r="H801" s="4">
        <v>2.6</v>
      </c>
      <c r="I801" t="s">
        <v>46</v>
      </c>
      <c r="J801" t="s">
        <v>33</v>
      </c>
      <c r="K801" t="s">
        <v>48</v>
      </c>
      <c r="L801">
        <f t="shared" si="24"/>
        <v>2020</v>
      </c>
      <c r="M801" t="str">
        <f t="shared" si="25"/>
        <v>COVID Period</v>
      </c>
    </row>
    <row r="802" spans="1:13" x14ac:dyDescent="0.25">
      <c r="A802" s="2">
        <v>43899</v>
      </c>
      <c r="B802" t="s">
        <v>40</v>
      </c>
      <c r="C802">
        <v>47</v>
      </c>
      <c r="D802" s="3">
        <v>0.68</v>
      </c>
      <c r="E802" s="3">
        <v>31.96</v>
      </c>
      <c r="F802">
        <v>61</v>
      </c>
      <c r="G802">
        <v>24</v>
      </c>
      <c r="H802" s="4">
        <v>4.5</v>
      </c>
      <c r="I802" t="s">
        <v>46</v>
      </c>
      <c r="J802" t="s">
        <v>33</v>
      </c>
      <c r="K802" t="s">
        <v>47</v>
      </c>
      <c r="L802">
        <f t="shared" si="24"/>
        <v>2020</v>
      </c>
      <c r="M802" t="str">
        <f t="shared" si="25"/>
        <v>COVID Period</v>
      </c>
    </row>
    <row r="803" spans="1:13" x14ac:dyDescent="0.25">
      <c r="A803" s="2">
        <v>43899</v>
      </c>
      <c r="B803" t="s">
        <v>41</v>
      </c>
      <c r="C803">
        <v>34</v>
      </c>
      <c r="D803" s="3">
        <v>1.38</v>
      </c>
      <c r="E803" s="3">
        <v>46.92</v>
      </c>
      <c r="F803">
        <v>42</v>
      </c>
      <c r="G803">
        <v>14</v>
      </c>
      <c r="H803" s="4">
        <v>3.1</v>
      </c>
      <c r="I803" t="s">
        <v>46</v>
      </c>
      <c r="J803" t="s">
        <v>33</v>
      </c>
      <c r="K803" t="s">
        <v>47</v>
      </c>
      <c r="L803">
        <f t="shared" si="24"/>
        <v>2020</v>
      </c>
      <c r="M803" t="str">
        <f t="shared" si="25"/>
        <v>COVID Period</v>
      </c>
    </row>
    <row r="804" spans="1:13" x14ac:dyDescent="0.25">
      <c r="A804" s="2">
        <v>43899</v>
      </c>
      <c r="B804" t="s">
        <v>42</v>
      </c>
      <c r="C804">
        <v>27</v>
      </c>
      <c r="D804" s="3">
        <v>4.18</v>
      </c>
      <c r="E804" s="3">
        <v>112.86</v>
      </c>
      <c r="F804">
        <v>44</v>
      </c>
      <c r="G804">
        <v>20</v>
      </c>
      <c r="H804" s="4">
        <v>3.5</v>
      </c>
      <c r="I804" t="s">
        <v>46</v>
      </c>
      <c r="J804" t="s">
        <v>33</v>
      </c>
      <c r="K804" t="s">
        <v>47</v>
      </c>
      <c r="L804">
        <f t="shared" si="24"/>
        <v>2020</v>
      </c>
      <c r="M804" t="str">
        <f t="shared" si="25"/>
        <v>COVID Period</v>
      </c>
    </row>
    <row r="805" spans="1:13" x14ac:dyDescent="0.25">
      <c r="A805" s="2">
        <v>43899</v>
      </c>
      <c r="B805" t="s">
        <v>43</v>
      </c>
      <c r="C805">
        <v>16</v>
      </c>
      <c r="D805" s="3">
        <v>5.76</v>
      </c>
      <c r="E805" s="3">
        <v>92.16</v>
      </c>
      <c r="F805">
        <v>19</v>
      </c>
      <c r="G805">
        <v>3</v>
      </c>
      <c r="H805" s="4">
        <v>5.4</v>
      </c>
      <c r="I805" t="s">
        <v>46</v>
      </c>
      <c r="J805" t="s">
        <v>33</v>
      </c>
      <c r="L805">
        <f t="shared" si="24"/>
        <v>2020</v>
      </c>
      <c r="M805" t="str">
        <f t="shared" si="25"/>
        <v>COVID Period</v>
      </c>
    </row>
    <row r="806" spans="1:13" x14ac:dyDescent="0.25">
      <c r="A806" s="2">
        <v>43899</v>
      </c>
      <c r="B806" t="s">
        <v>44</v>
      </c>
      <c r="C806">
        <v>1</v>
      </c>
      <c r="D806" s="3">
        <v>4.6500000000000004</v>
      </c>
      <c r="E806" s="3">
        <v>4.6500000000000004</v>
      </c>
      <c r="F806">
        <v>3</v>
      </c>
      <c r="G806">
        <v>2</v>
      </c>
      <c r="H806" s="4">
        <v>3.2</v>
      </c>
      <c r="I806" t="s">
        <v>46</v>
      </c>
      <c r="J806" t="s">
        <v>33</v>
      </c>
      <c r="K806" t="s">
        <v>47</v>
      </c>
      <c r="L806">
        <f t="shared" si="24"/>
        <v>2020</v>
      </c>
      <c r="M806" t="str">
        <f t="shared" si="25"/>
        <v>COVID Period</v>
      </c>
    </row>
    <row r="807" spans="1:13" x14ac:dyDescent="0.25">
      <c r="A807" s="2">
        <v>43899</v>
      </c>
      <c r="B807" t="s">
        <v>45</v>
      </c>
      <c r="C807">
        <v>1</v>
      </c>
      <c r="D807" s="3">
        <v>15.1</v>
      </c>
      <c r="E807" s="3">
        <v>15.1</v>
      </c>
      <c r="F807">
        <v>3</v>
      </c>
      <c r="G807">
        <v>2</v>
      </c>
      <c r="H807" s="4">
        <v>0.8</v>
      </c>
      <c r="I807" t="s">
        <v>46</v>
      </c>
      <c r="J807" t="s">
        <v>33</v>
      </c>
      <c r="L807">
        <f t="shared" si="24"/>
        <v>2020</v>
      </c>
      <c r="M807" t="str">
        <f t="shared" si="25"/>
        <v>COVID Period</v>
      </c>
    </row>
    <row r="808" spans="1:13" x14ac:dyDescent="0.25">
      <c r="A808" s="2">
        <v>43906</v>
      </c>
      <c r="B808" t="s">
        <v>32</v>
      </c>
      <c r="C808">
        <v>27</v>
      </c>
      <c r="D808" s="3">
        <v>7.09</v>
      </c>
      <c r="E808" s="3">
        <v>191.43</v>
      </c>
      <c r="F808">
        <v>43</v>
      </c>
      <c r="G808">
        <v>19</v>
      </c>
      <c r="H808" s="4">
        <v>1.9</v>
      </c>
      <c r="I808" t="s">
        <v>33</v>
      </c>
      <c r="J808" t="s">
        <v>33</v>
      </c>
      <c r="L808">
        <f t="shared" si="24"/>
        <v>2020</v>
      </c>
      <c r="M808" t="str">
        <f t="shared" si="25"/>
        <v>COVID Period</v>
      </c>
    </row>
    <row r="809" spans="1:13" x14ac:dyDescent="0.25">
      <c r="A809" s="2">
        <v>43906</v>
      </c>
      <c r="B809" t="s">
        <v>34</v>
      </c>
      <c r="C809">
        <v>20</v>
      </c>
      <c r="D809" s="3">
        <v>7.4</v>
      </c>
      <c r="E809" s="3">
        <v>148</v>
      </c>
      <c r="F809">
        <v>24</v>
      </c>
      <c r="G809">
        <v>5</v>
      </c>
      <c r="H809" s="4">
        <v>1.1000000000000001</v>
      </c>
      <c r="I809" t="s">
        <v>33</v>
      </c>
      <c r="J809" t="s">
        <v>33</v>
      </c>
      <c r="L809">
        <f t="shared" si="24"/>
        <v>2020</v>
      </c>
      <c r="M809" t="str">
        <f t="shared" si="25"/>
        <v>COVID Period</v>
      </c>
    </row>
    <row r="810" spans="1:13" x14ac:dyDescent="0.25">
      <c r="A810" s="2">
        <v>43906</v>
      </c>
      <c r="B810" t="s">
        <v>35</v>
      </c>
      <c r="C810">
        <v>14</v>
      </c>
      <c r="D810" s="3">
        <v>5.82</v>
      </c>
      <c r="E810" s="3">
        <v>81.48</v>
      </c>
      <c r="F810">
        <v>22</v>
      </c>
      <c r="G810">
        <v>11</v>
      </c>
      <c r="H810" s="4">
        <v>2.2999999999999998</v>
      </c>
      <c r="I810" t="s">
        <v>33</v>
      </c>
      <c r="J810" t="s">
        <v>33</v>
      </c>
      <c r="L810">
        <f t="shared" si="24"/>
        <v>2020</v>
      </c>
      <c r="M810" t="str">
        <f t="shared" si="25"/>
        <v>COVID Period</v>
      </c>
    </row>
    <row r="811" spans="1:13" x14ac:dyDescent="0.25">
      <c r="A811" s="2">
        <v>43906</v>
      </c>
      <c r="B811" t="s">
        <v>36</v>
      </c>
      <c r="C811">
        <v>19</v>
      </c>
      <c r="D811" s="3">
        <v>6.18</v>
      </c>
      <c r="E811" s="3">
        <v>117.42</v>
      </c>
      <c r="F811">
        <v>20</v>
      </c>
      <c r="G811">
        <v>2</v>
      </c>
      <c r="H811" s="4">
        <v>2</v>
      </c>
      <c r="I811" t="s">
        <v>33</v>
      </c>
      <c r="J811" t="s">
        <v>33</v>
      </c>
      <c r="L811">
        <f t="shared" si="24"/>
        <v>2020</v>
      </c>
      <c r="M811" t="str">
        <f t="shared" si="25"/>
        <v>COVID Period</v>
      </c>
    </row>
    <row r="812" spans="1:13" x14ac:dyDescent="0.25">
      <c r="A812" s="2">
        <v>43906</v>
      </c>
      <c r="B812" t="s">
        <v>37</v>
      </c>
      <c r="C812">
        <v>40</v>
      </c>
      <c r="D812" s="3">
        <v>3.33</v>
      </c>
      <c r="E812" s="3">
        <v>133.19999999999999</v>
      </c>
      <c r="F812">
        <v>65</v>
      </c>
      <c r="G812">
        <v>31</v>
      </c>
      <c r="H812" s="4">
        <v>0.9</v>
      </c>
      <c r="I812" t="s">
        <v>33</v>
      </c>
      <c r="J812" t="s">
        <v>33</v>
      </c>
      <c r="L812">
        <f t="shared" si="24"/>
        <v>2020</v>
      </c>
      <c r="M812" t="str">
        <f t="shared" si="25"/>
        <v>COVID Period</v>
      </c>
    </row>
    <row r="813" spans="1:13" x14ac:dyDescent="0.25">
      <c r="A813" s="2">
        <v>43906</v>
      </c>
      <c r="B813" t="s">
        <v>38</v>
      </c>
      <c r="C813">
        <v>21</v>
      </c>
      <c r="D813" s="3">
        <v>8.92</v>
      </c>
      <c r="E813" s="3">
        <v>187.32</v>
      </c>
      <c r="F813">
        <v>30</v>
      </c>
      <c r="G813">
        <v>14</v>
      </c>
      <c r="H813" s="4">
        <v>2.2999999999999998</v>
      </c>
      <c r="I813" t="s">
        <v>33</v>
      </c>
      <c r="J813" t="s">
        <v>33</v>
      </c>
      <c r="L813">
        <f t="shared" si="24"/>
        <v>2020</v>
      </c>
      <c r="M813" t="str">
        <f t="shared" si="25"/>
        <v>COVID Period</v>
      </c>
    </row>
    <row r="814" spans="1:13" x14ac:dyDescent="0.25">
      <c r="A814" s="2">
        <v>43906</v>
      </c>
      <c r="B814" t="s">
        <v>39</v>
      </c>
      <c r="C814">
        <v>31</v>
      </c>
      <c r="D814" s="3">
        <v>11.21</v>
      </c>
      <c r="E814" s="3">
        <v>347.51</v>
      </c>
      <c r="F814">
        <v>32</v>
      </c>
      <c r="G814">
        <v>4</v>
      </c>
      <c r="H814" s="4">
        <v>2.5</v>
      </c>
      <c r="I814" t="s">
        <v>46</v>
      </c>
      <c r="J814" t="s">
        <v>33</v>
      </c>
      <c r="K814" t="s">
        <v>48</v>
      </c>
      <c r="L814">
        <f t="shared" si="24"/>
        <v>2020</v>
      </c>
      <c r="M814" t="str">
        <f t="shared" si="25"/>
        <v>COVID Period</v>
      </c>
    </row>
    <row r="815" spans="1:13" x14ac:dyDescent="0.25">
      <c r="A815" s="2">
        <v>43906</v>
      </c>
      <c r="B815" t="s">
        <v>40</v>
      </c>
      <c r="C815">
        <v>29</v>
      </c>
      <c r="D815" s="3">
        <v>0.65</v>
      </c>
      <c r="E815" s="3">
        <v>18.850000000000001</v>
      </c>
      <c r="F815">
        <v>37</v>
      </c>
      <c r="G815">
        <v>9</v>
      </c>
      <c r="H815" s="4">
        <v>3.8</v>
      </c>
      <c r="I815" t="s">
        <v>46</v>
      </c>
      <c r="J815" t="s">
        <v>33</v>
      </c>
      <c r="K815" t="s">
        <v>47</v>
      </c>
      <c r="L815">
        <f t="shared" si="24"/>
        <v>2020</v>
      </c>
      <c r="M815" t="str">
        <f t="shared" si="25"/>
        <v>COVID Period</v>
      </c>
    </row>
    <row r="816" spans="1:13" x14ac:dyDescent="0.25">
      <c r="A816" s="2">
        <v>43906</v>
      </c>
      <c r="B816" t="s">
        <v>41</v>
      </c>
      <c r="C816">
        <v>38</v>
      </c>
      <c r="D816" s="3">
        <v>1.35</v>
      </c>
      <c r="E816" s="3">
        <v>51.3</v>
      </c>
      <c r="F816">
        <v>60</v>
      </c>
      <c r="G816">
        <v>30</v>
      </c>
      <c r="H816" s="4">
        <v>4.9000000000000004</v>
      </c>
      <c r="I816" t="s">
        <v>46</v>
      </c>
      <c r="J816" t="s">
        <v>33</v>
      </c>
      <c r="K816" t="s">
        <v>47</v>
      </c>
      <c r="L816">
        <f t="shared" si="24"/>
        <v>2020</v>
      </c>
      <c r="M816" t="str">
        <f t="shared" si="25"/>
        <v>COVID Period</v>
      </c>
    </row>
    <row r="817" spans="1:13" x14ac:dyDescent="0.25">
      <c r="A817" s="2">
        <v>43906</v>
      </c>
      <c r="B817" t="s">
        <v>42</v>
      </c>
      <c r="C817">
        <v>41</v>
      </c>
      <c r="D817" s="3">
        <v>4.2</v>
      </c>
      <c r="E817" s="3">
        <v>172.2</v>
      </c>
      <c r="F817">
        <v>49</v>
      </c>
      <c r="G817">
        <v>13</v>
      </c>
      <c r="H817" s="4">
        <v>3.7</v>
      </c>
      <c r="I817" t="s">
        <v>46</v>
      </c>
      <c r="J817" t="s">
        <v>33</v>
      </c>
      <c r="K817" t="s">
        <v>47</v>
      </c>
      <c r="L817">
        <f t="shared" si="24"/>
        <v>2020</v>
      </c>
      <c r="M817" t="str">
        <f t="shared" si="25"/>
        <v>COVID Period</v>
      </c>
    </row>
    <row r="818" spans="1:13" x14ac:dyDescent="0.25">
      <c r="A818" s="2">
        <v>43906</v>
      </c>
      <c r="B818" t="s">
        <v>43</v>
      </c>
      <c r="C818">
        <v>21</v>
      </c>
      <c r="D818" s="3">
        <v>5.52</v>
      </c>
      <c r="E818" s="3">
        <v>115.92</v>
      </c>
      <c r="F818">
        <v>27</v>
      </c>
      <c r="G818">
        <v>8</v>
      </c>
      <c r="H818" s="4">
        <v>0.6</v>
      </c>
      <c r="I818" t="s">
        <v>46</v>
      </c>
      <c r="J818" t="s">
        <v>33</v>
      </c>
      <c r="L818">
        <f t="shared" si="24"/>
        <v>2020</v>
      </c>
      <c r="M818" t="str">
        <f t="shared" si="25"/>
        <v>COVID Period</v>
      </c>
    </row>
    <row r="819" spans="1:13" x14ac:dyDescent="0.25">
      <c r="A819" s="2">
        <v>43906</v>
      </c>
      <c r="B819" t="s">
        <v>44</v>
      </c>
      <c r="C819">
        <v>0</v>
      </c>
      <c r="D819" s="3">
        <v>4.72</v>
      </c>
      <c r="E819" s="3">
        <v>0</v>
      </c>
      <c r="F819">
        <v>3</v>
      </c>
      <c r="G819">
        <v>3</v>
      </c>
      <c r="H819" s="4">
        <v>3.7</v>
      </c>
      <c r="I819" t="s">
        <v>33</v>
      </c>
      <c r="J819" t="s">
        <v>33</v>
      </c>
      <c r="L819">
        <f t="shared" si="24"/>
        <v>2020</v>
      </c>
      <c r="M819" t="str">
        <f t="shared" si="25"/>
        <v>COVID Period</v>
      </c>
    </row>
    <row r="820" spans="1:13" x14ac:dyDescent="0.25">
      <c r="A820" s="2">
        <v>43906</v>
      </c>
      <c r="B820" t="s">
        <v>45</v>
      </c>
      <c r="C820">
        <v>0</v>
      </c>
      <c r="D820" s="3">
        <v>15.64</v>
      </c>
      <c r="E820" s="3">
        <v>0</v>
      </c>
      <c r="F820">
        <v>3</v>
      </c>
      <c r="G820">
        <v>4</v>
      </c>
      <c r="H820" s="4">
        <v>3.2</v>
      </c>
      <c r="I820" t="s">
        <v>33</v>
      </c>
      <c r="J820" t="s">
        <v>33</v>
      </c>
      <c r="L820">
        <f t="shared" si="24"/>
        <v>2020</v>
      </c>
      <c r="M820" t="str">
        <f t="shared" si="25"/>
        <v>COVID Period</v>
      </c>
    </row>
    <row r="821" spans="1:13" x14ac:dyDescent="0.25">
      <c r="A821" s="2">
        <v>43913</v>
      </c>
      <c r="B821" t="s">
        <v>32</v>
      </c>
      <c r="C821">
        <v>24</v>
      </c>
      <c r="D821" s="3">
        <v>7.07</v>
      </c>
      <c r="E821" s="3">
        <v>169.68</v>
      </c>
      <c r="F821">
        <v>26</v>
      </c>
      <c r="G821">
        <v>3</v>
      </c>
      <c r="H821" s="4">
        <v>1.7</v>
      </c>
      <c r="I821" t="s">
        <v>33</v>
      </c>
      <c r="J821" t="s">
        <v>33</v>
      </c>
      <c r="L821">
        <f t="shared" si="24"/>
        <v>2020</v>
      </c>
      <c r="M821" t="str">
        <f t="shared" si="25"/>
        <v>COVID Period</v>
      </c>
    </row>
    <row r="822" spans="1:13" x14ac:dyDescent="0.25">
      <c r="A822" s="2">
        <v>43913</v>
      </c>
      <c r="B822" t="s">
        <v>34</v>
      </c>
      <c r="C822">
        <v>21</v>
      </c>
      <c r="D822" s="3">
        <v>7.02</v>
      </c>
      <c r="E822" s="3">
        <v>147.41999999999999</v>
      </c>
      <c r="F822">
        <v>26</v>
      </c>
      <c r="G822">
        <v>8</v>
      </c>
      <c r="H822" s="4">
        <v>2</v>
      </c>
      <c r="I822" t="s">
        <v>33</v>
      </c>
      <c r="J822" t="s">
        <v>33</v>
      </c>
      <c r="L822">
        <f t="shared" si="24"/>
        <v>2020</v>
      </c>
      <c r="M822" t="str">
        <f t="shared" si="25"/>
        <v>COVID Period</v>
      </c>
    </row>
    <row r="823" spans="1:13" x14ac:dyDescent="0.25">
      <c r="A823" s="2">
        <v>43913</v>
      </c>
      <c r="B823" t="s">
        <v>35</v>
      </c>
      <c r="C823">
        <v>10</v>
      </c>
      <c r="D823" s="3">
        <v>6.07</v>
      </c>
      <c r="E823" s="3">
        <v>60.7</v>
      </c>
      <c r="F823">
        <v>13</v>
      </c>
      <c r="G823">
        <v>3</v>
      </c>
      <c r="H823" s="4">
        <v>2.5</v>
      </c>
      <c r="I823" t="s">
        <v>33</v>
      </c>
      <c r="J823" t="s">
        <v>33</v>
      </c>
      <c r="L823">
        <f t="shared" si="24"/>
        <v>2020</v>
      </c>
      <c r="M823" t="str">
        <f t="shared" si="25"/>
        <v>COVID Period</v>
      </c>
    </row>
    <row r="824" spans="1:13" x14ac:dyDescent="0.25">
      <c r="A824" s="2">
        <v>43913</v>
      </c>
      <c r="B824" t="s">
        <v>36</v>
      </c>
      <c r="C824">
        <v>11</v>
      </c>
      <c r="D824" s="3">
        <v>6.36</v>
      </c>
      <c r="E824" s="3">
        <v>69.959999999999994</v>
      </c>
      <c r="F824">
        <v>12</v>
      </c>
      <c r="G824">
        <v>3</v>
      </c>
      <c r="H824" s="4">
        <v>2</v>
      </c>
      <c r="I824" t="s">
        <v>33</v>
      </c>
      <c r="J824" t="s">
        <v>33</v>
      </c>
      <c r="L824">
        <f t="shared" si="24"/>
        <v>2020</v>
      </c>
      <c r="M824" t="str">
        <f t="shared" si="25"/>
        <v>COVID Period</v>
      </c>
    </row>
    <row r="825" spans="1:13" x14ac:dyDescent="0.25">
      <c r="A825" s="2">
        <v>43913</v>
      </c>
      <c r="B825" t="s">
        <v>37</v>
      </c>
      <c r="C825">
        <v>24</v>
      </c>
      <c r="D825" s="3">
        <v>3.27</v>
      </c>
      <c r="E825" s="3">
        <v>78.48</v>
      </c>
      <c r="F825">
        <v>34</v>
      </c>
      <c r="G825">
        <v>14</v>
      </c>
      <c r="H825" s="4">
        <v>1.8</v>
      </c>
      <c r="I825" t="s">
        <v>33</v>
      </c>
      <c r="J825" t="s">
        <v>33</v>
      </c>
      <c r="L825">
        <f t="shared" si="24"/>
        <v>2020</v>
      </c>
      <c r="M825" t="str">
        <f t="shared" si="25"/>
        <v>COVID Period</v>
      </c>
    </row>
    <row r="826" spans="1:13" x14ac:dyDescent="0.25">
      <c r="A826" s="2">
        <v>43913</v>
      </c>
      <c r="B826" t="s">
        <v>38</v>
      </c>
      <c r="C826">
        <v>22</v>
      </c>
      <c r="D826" s="3">
        <v>8.41</v>
      </c>
      <c r="E826" s="3">
        <v>185.02</v>
      </c>
      <c r="F826">
        <v>36</v>
      </c>
      <c r="G826">
        <v>15</v>
      </c>
      <c r="H826" s="4">
        <v>1.4</v>
      </c>
      <c r="I826" t="s">
        <v>33</v>
      </c>
      <c r="J826" t="s">
        <v>33</v>
      </c>
      <c r="L826">
        <f t="shared" si="24"/>
        <v>2020</v>
      </c>
      <c r="M826" t="str">
        <f t="shared" si="25"/>
        <v>COVID Period</v>
      </c>
    </row>
    <row r="827" spans="1:13" x14ac:dyDescent="0.25">
      <c r="A827" s="2">
        <v>43913</v>
      </c>
      <c r="B827" t="s">
        <v>39</v>
      </c>
      <c r="C827">
        <v>37</v>
      </c>
      <c r="D827" s="3">
        <v>11.63</v>
      </c>
      <c r="E827" s="3">
        <v>430.31</v>
      </c>
      <c r="F827">
        <v>43</v>
      </c>
      <c r="G827">
        <v>9</v>
      </c>
      <c r="H827" s="4">
        <v>1.5</v>
      </c>
      <c r="I827" t="s">
        <v>46</v>
      </c>
      <c r="J827" t="s">
        <v>33</v>
      </c>
      <c r="K827" t="s">
        <v>48</v>
      </c>
      <c r="L827">
        <f t="shared" si="24"/>
        <v>2020</v>
      </c>
      <c r="M827" t="str">
        <f t="shared" si="25"/>
        <v>COVID Period</v>
      </c>
    </row>
    <row r="828" spans="1:13" x14ac:dyDescent="0.25">
      <c r="A828" s="2">
        <v>43913</v>
      </c>
      <c r="B828" t="s">
        <v>40</v>
      </c>
      <c r="C828">
        <v>33</v>
      </c>
      <c r="D828" s="3">
        <v>0.67</v>
      </c>
      <c r="E828" s="3">
        <v>22.11</v>
      </c>
      <c r="F828">
        <v>40</v>
      </c>
      <c r="G828">
        <v>8</v>
      </c>
      <c r="H828" s="4">
        <v>3.5</v>
      </c>
      <c r="I828" t="s">
        <v>46</v>
      </c>
      <c r="J828" t="s">
        <v>33</v>
      </c>
      <c r="K828" t="s">
        <v>47</v>
      </c>
      <c r="L828">
        <f t="shared" si="24"/>
        <v>2020</v>
      </c>
      <c r="M828" t="str">
        <f t="shared" si="25"/>
        <v>COVID Period</v>
      </c>
    </row>
    <row r="829" spans="1:13" x14ac:dyDescent="0.25">
      <c r="A829" s="2">
        <v>43913</v>
      </c>
      <c r="B829" t="s">
        <v>41</v>
      </c>
      <c r="C829">
        <v>19</v>
      </c>
      <c r="D829" s="3">
        <v>1.35</v>
      </c>
      <c r="E829" s="3">
        <v>25.65</v>
      </c>
      <c r="F829">
        <v>28</v>
      </c>
      <c r="G829">
        <v>10</v>
      </c>
      <c r="H829" s="4">
        <v>4</v>
      </c>
      <c r="I829" t="s">
        <v>46</v>
      </c>
      <c r="J829" t="s">
        <v>33</v>
      </c>
      <c r="K829" t="s">
        <v>47</v>
      </c>
      <c r="L829">
        <f t="shared" si="24"/>
        <v>2020</v>
      </c>
      <c r="M829" t="str">
        <f t="shared" si="25"/>
        <v>COVID Period</v>
      </c>
    </row>
    <row r="830" spans="1:13" x14ac:dyDescent="0.25">
      <c r="A830" s="2">
        <v>43913</v>
      </c>
      <c r="B830" t="s">
        <v>42</v>
      </c>
      <c r="C830">
        <v>34</v>
      </c>
      <c r="D830" s="3">
        <v>4.1399999999999997</v>
      </c>
      <c r="E830" s="3">
        <v>140.76</v>
      </c>
      <c r="F830">
        <v>36</v>
      </c>
      <c r="G830">
        <v>5</v>
      </c>
      <c r="H830" s="4">
        <v>3.7</v>
      </c>
      <c r="I830" t="s">
        <v>46</v>
      </c>
      <c r="J830" t="s">
        <v>33</v>
      </c>
      <c r="K830" t="s">
        <v>47</v>
      </c>
      <c r="L830">
        <f t="shared" si="24"/>
        <v>2020</v>
      </c>
      <c r="M830" t="str">
        <f t="shared" si="25"/>
        <v>COVID Period</v>
      </c>
    </row>
    <row r="831" spans="1:13" x14ac:dyDescent="0.25">
      <c r="A831" s="2">
        <v>43913</v>
      </c>
      <c r="B831" t="s">
        <v>43</v>
      </c>
      <c r="C831">
        <v>18</v>
      </c>
      <c r="D831" s="3">
        <v>5.59</v>
      </c>
      <c r="E831" s="3">
        <v>100.62</v>
      </c>
      <c r="F831">
        <v>23</v>
      </c>
      <c r="G831">
        <v>8</v>
      </c>
      <c r="H831" s="4">
        <v>3.5</v>
      </c>
      <c r="I831" t="s">
        <v>46</v>
      </c>
      <c r="J831" t="s">
        <v>33</v>
      </c>
      <c r="L831">
        <f t="shared" si="24"/>
        <v>2020</v>
      </c>
      <c r="M831" t="str">
        <f t="shared" si="25"/>
        <v>COVID Period</v>
      </c>
    </row>
    <row r="832" spans="1:13" x14ac:dyDescent="0.25">
      <c r="A832" s="2">
        <v>43913</v>
      </c>
      <c r="B832" t="s">
        <v>44</v>
      </c>
      <c r="C832">
        <v>0</v>
      </c>
      <c r="D832" s="3">
        <v>4.96</v>
      </c>
      <c r="E832" s="3">
        <v>0</v>
      </c>
      <c r="F832">
        <v>3</v>
      </c>
      <c r="G832">
        <v>3</v>
      </c>
      <c r="H832" s="4">
        <v>2.4</v>
      </c>
      <c r="I832" t="s">
        <v>33</v>
      </c>
      <c r="J832" t="s">
        <v>33</v>
      </c>
      <c r="L832">
        <f t="shared" si="24"/>
        <v>2020</v>
      </c>
      <c r="M832" t="str">
        <f t="shared" si="25"/>
        <v>COVID Period</v>
      </c>
    </row>
    <row r="833" spans="1:13" x14ac:dyDescent="0.25">
      <c r="A833" s="2">
        <v>43913</v>
      </c>
      <c r="B833" t="s">
        <v>45</v>
      </c>
      <c r="C833">
        <v>1</v>
      </c>
      <c r="D833" s="3">
        <v>15.23</v>
      </c>
      <c r="E833" s="3">
        <v>15.23</v>
      </c>
      <c r="F833">
        <v>3</v>
      </c>
      <c r="G833">
        <v>2</v>
      </c>
      <c r="H833" s="4">
        <v>1.5</v>
      </c>
      <c r="I833" t="s">
        <v>46</v>
      </c>
      <c r="J833" t="s">
        <v>33</v>
      </c>
      <c r="L833">
        <f t="shared" si="24"/>
        <v>2020</v>
      </c>
      <c r="M833" t="str">
        <f t="shared" si="25"/>
        <v>COVID Period</v>
      </c>
    </row>
    <row r="834" spans="1:13" x14ac:dyDescent="0.25">
      <c r="A834" s="2">
        <v>43920</v>
      </c>
      <c r="B834" t="s">
        <v>32</v>
      </c>
      <c r="C834">
        <v>25</v>
      </c>
      <c r="D834" s="3">
        <v>7.03</v>
      </c>
      <c r="E834" s="3">
        <v>175.75</v>
      </c>
      <c r="F834">
        <v>32</v>
      </c>
      <c r="G834">
        <v>9</v>
      </c>
      <c r="H834" s="4">
        <v>0.2</v>
      </c>
      <c r="I834" t="s">
        <v>33</v>
      </c>
      <c r="J834" t="s">
        <v>33</v>
      </c>
      <c r="L834">
        <f t="shared" ref="L834:L897" si="26">YEAR(A834)</f>
        <v>2020</v>
      </c>
      <c r="M834" t="str">
        <f t="shared" ref="M834:M897" si="27">IF(L834=2019,"Pre-COVID","COVID Period")</f>
        <v>COVID Period</v>
      </c>
    </row>
    <row r="835" spans="1:13" x14ac:dyDescent="0.25">
      <c r="A835" s="2">
        <v>43920</v>
      </c>
      <c r="B835" t="s">
        <v>34</v>
      </c>
      <c r="C835">
        <v>27</v>
      </c>
      <c r="D835" s="3">
        <v>7.22</v>
      </c>
      <c r="E835" s="3">
        <v>194.94</v>
      </c>
      <c r="F835">
        <v>43</v>
      </c>
      <c r="G835">
        <v>17</v>
      </c>
      <c r="H835" s="4">
        <v>1.4</v>
      </c>
      <c r="I835" t="s">
        <v>33</v>
      </c>
      <c r="J835" t="s">
        <v>33</v>
      </c>
      <c r="L835">
        <f t="shared" si="26"/>
        <v>2020</v>
      </c>
      <c r="M835" t="str">
        <f t="shared" si="27"/>
        <v>COVID Period</v>
      </c>
    </row>
    <row r="836" spans="1:13" x14ac:dyDescent="0.25">
      <c r="A836" s="2">
        <v>43920</v>
      </c>
      <c r="B836" t="s">
        <v>35</v>
      </c>
      <c r="C836">
        <v>16</v>
      </c>
      <c r="D836" s="3">
        <v>6.08</v>
      </c>
      <c r="E836" s="3">
        <v>97.28</v>
      </c>
      <c r="F836">
        <v>25</v>
      </c>
      <c r="G836">
        <v>11</v>
      </c>
      <c r="H836" s="4">
        <v>1.4</v>
      </c>
      <c r="I836" t="s">
        <v>33</v>
      </c>
      <c r="J836" t="s">
        <v>33</v>
      </c>
      <c r="L836">
        <f t="shared" si="26"/>
        <v>2020</v>
      </c>
      <c r="M836" t="str">
        <f t="shared" si="27"/>
        <v>COVID Period</v>
      </c>
    </row>
    <row r="837" spans="1:13" x14ac:dyDescent="0.25">
      <c r="A837" s="2">
        <v>43920</v>
      </c>
      <c r="B837" t="s">
        <v>36</v>
      </c>
      <c r="C837">
        <v>16</v>
      </c>
      <c r="D837" s="3">
        <v>6.35</v>
      </c>
      <c r="E837" s="3">
        <v>101.6</v>
      </c>
      <c r="F837">
        <v>17</v>
      </c>
      <c r="G837">
        <v>3</v>
      </c>
      <c r="H837" s="4">
        <v>0.9</v>
      </c>
      <c r="I837" t="s">
        <v>33</v>
      </c>
      <c r="J837" t="s">
        <v>33</v>
      </c>
      <c r="L837">
        <f t="shared" si="26"/>
        <v>2020</v>
      </c>
      <c r="M837" t="str">
        <f t="shared" si="27"/>
        <v>COVID Period</v>
      </c>
    </row>
    <row r="838" spans="1:13" x14ac:dyDescent="0.25">
      <c r="A838" s="2">
        <v>43920</v>
      </c>
      <c r="B838" t="s">
        <v>37</v>
      </c>
      <c r="C838">
        <v>36</v>
      </c>
      <c r="D838" s="3">
        <v>3.31</v>
      </c>
      <c r="E838" s="3">
        <v>119.16</v>
      </c>
      <c r="F838">
        <v>47</v>
      </c>
      <c r="G838">
        <v>11</v>
      </c>
      <c r="H838" s="4">
        <v>3</v>
      </c>
      <c r="I838" t="s">
        <v>33</v>
      </c>
      <c r="J838" t="s">
        <v>33</v>
      </c>
      <c r="L838">
        <f t="shared" si="26"/>
        <v>2020</v>
      </c>
      <c r="M838" t="str">
        <f t="shared" si="27"/>
        <v>COVID Period</v>
      </c>
    </row>
    <row r="839" spans="1:13" x14ac:dyDescent="0.25">
      <c r="A839" s="2">
        <v>43920</v>
      </c>
      <c r="B839" t="s">
        <v>38</v>
      </c>
      <c r="C839">
        <v>18</v>
      </c>
      <c r="D839" s="3">
        <v>8.3800000000000008</v>
      </c>
      <c r="E839" s="3">
        <v>150.84</v>
      </c>
      <c r="F839">
        <v>26</v>
      </c>
      <c r="G839">
        <v>10</v>
      </c>
      <c r="H839" s="4">
        <v>0.7</v>
      </c>
      <c r="I839" t="s">
        <v>33</v>
      </c>
      <c r="J839" t="s">
        <v>33</v>
      </c>
      <c r="L839">
        <f t="shared" si="26"/>
        <v>2020</v>
      </c>
      <c r="M839" t="str">
        <f t="shared" si="27"/>
        <v>COVID Period</v>
      </c>
    </row>
    <row r="840" spans="1:13" x14ac:dyDescent="0.25">
      <c r="A840" s="2">
        <v>43920</v>
      </c>
      <c r="B840" t="s">
        <v>39</v>
      </c>
      <c r="C840">
        <v>32</v>
      </c>
      <c r="D840" s="3">
        <v>12</v>
      </c>
      <c r="E840" s="3">
        <v>384</v>
      </c>
      <c r="F840">
        <v>51</v>
      </c>
      <c r="G840">
        <v>27</v>
      </c>
      <c r="H840" s="4">
        <v>2.2999999999999998</v>
      </c>
      <c r="I840" t="s">
        <v>46</v>
      </c>
      <c r="J840" t="s">
        <v>33</v>
      </c>
      <c r="K840" t="s">
        <v>48</v>
      </c>
      <c r="L840">
        <f t="shared" si="26"/>
        <v>2020</v>
      </c>
      <c r="M840" t="str">
        <f t="shared" si="27"/>
        <v>COVID Period</v>
      </c>
    </row>
    <row r="841" spans="1:13" x14ac:dyDescent="0.25">
      <c r="A841" s="2">
        <v>43920</v>
      </c>
      <c r="B841" t="s">
        <v>40</v>
      </c>
      <c r="C841">
        <v>48</v>
      </c>
      <c r="D841" s="3">
        <v>0.67</v>
      </c>
      <c r="E841" s="3">
        <v>32.159999999999997</v>
      </c>
      <c r="F841">
        <v>56</v>
      </c>
      <c r="G841">
        <v>13</v>
      </c>
      <c r="H841" s="4">
        <v>5.5</v>
      </c>
      <c r="I841" t="s">
        <v>46</v>
      </c>
      <c r="J841" t="s">
        <v>33</v>
      </c>
      <c r="K841" t="s">
        <v>47</v>
      </c>
      <c r="L841">
        <f t="shared" si="26"/>
        <v>2020</v>
      </c>
      <c r="M841" t="str">
        <f t="shared" si="27"/>
        <v>COVID Period</v>
      </c>
    </row>
    <row r="842" spans="1:13" x14ac:dyDescent="0.25">
      <c r="A842" s="2">
        <v>43920</v>
      </c>
      <c r="B842" t="s">
        <v>41</v>
      </c>
      <c r="C842">
        <v>29</v>
      </c>
      <c r="D842" s="3">
        <v>1.36</v>
      </c>
      <c r="E842" s="3">
        <v>39.44</v>
      </c>
      <c r="F842">
        <v>36</v>
      </c>
      <c r="G842">
        <v>12</v>
      </c>
      <c r="H842" s="4">
        <v>3.3</v>
      </c>
      <c r="I842" t="s">
        <v>46</v>
      </c>
      <c r="J842" t="s">
        <v>33</v>
      </c>
      <c r="K842" t="s">
        <v>47</v>
      </c>
      <c r="L842">
        <f t="shared" si="26"/>
        <v>2020</v>
      </c>
      <c r="M842" t="str">
        <f t="shared" si="27"/>
        <v>COVID Period</v>
      </c>
    </row>
    <row r="843" spans="1:13" x14ac:dyDescent="0.25">
      <c r="A843" s="2">
        <v>43920</v>
      </c>
      <c r="B843" t="s">
        <v>42</v>
      </c>
      <c r="C843">
        <v>29</v>
      </c>
      <c r="D843" s="3">
        <v>4.24</v>
      </c>
      <c r="E843" s="3">
        <v>122.96</v>
      </c>
      <c r="F843">
        <v>39</v>
      </c>
      <c r="G843">
        <v>11</v>
      </c>
      <c r="H843" s="4">
        <v>5.8</v>
      </c>
      <c r="I843" t="s">
        <v>46</v>
      </c>
      <c r="J843" t="s">
        <v>33</v>
      </c>
      <c r="K843" t="s">
        <v>47</v>
      </c>
      <c r="L843">
        <f t="shared" si="26"/>
        <v>2020</v>
      </c>
      <c r="M843" t="str">
        <f t="shared" si="27"/>
        <v>COVID Period</v>
      </c>
    </row>
    <row r="844" spans="1:13" x14ac:dyDescent="0.25">
      <c r="A844" s="2">
        <v>43920</v>
      </c>
      <c r="B844" t="s">
        <v>43</v>
      </c>
      <c r="C844">
        <v>19</v>
      </c>
      <c r="D844" s="3">
        <v>5.72</v>
      </c>
      <c r="E844" s="3">
        <v>108.68</v>
      </c>
      <c r="F844">
        <v>29</v>
      </c>
      <c r="G844">
        <v>15</v>
      </c>
      <c r="H844" s="4">
        <v>3.8</v>
      </c>
      <c r="I844" t="s">
        <v>46</v>
      </c>
      <c r="J844" t="s">
        <v>33</v>
      </c>
      <c r="L844">
        <f t="shared" si="26"/>
        <v>2020</v>
      </c>
      <c r="M844" t="str">
        <f t="shared" si="27"/>
        <v>COVID Period</v>
      </c>
    </row>
    <row r="845" spans="1:13" x14ac:dyDescent="0.25">
      <c r="A845" s="2">
        <v>43920</v>
      </c>
      <c r="B845" t="s">
        <v>44</v>
      </c>
      <c r="C845">
        <v>0</v>
      </c>
      <c r="D845" s="3">
        <v>4.74</v>
      </c>
      <c r="E845" s="3">
        <v>0</v>
      </c>
      <c r="F845">
        <v>3</v>
      </c>
      <c r="G845">
        <v>3</v>
      </c>
      <c r="H845" s="4">
        <v>3.3</v>
      </c>
      <c r="I845" t="s">
        <v>33</v>
      </c>
      <c r="J845" t="s">
        <v>33</v>
      </c>
      <c r="L845">
        <f t="shared" si="26"/>
        <v>2020</v>
      </c>
      <c r="M845" t="str">
        <f t="shared" si="27"/>
        <v>COVID Period</v>
      </c>
    </row>
    <row r="846" spans="1:13" x14ac:dyDescent="0.25">
      <c r="A846" s="2">
        <v>43920</v>
      </c>
      <c r="B846" t="s">
        <v>45</v>
      </c>
      <c r="C846">
        <v>1</v>
      </c>
      <c r="D846" s="3">
        <v>15.53</v>
      </c>
      <c r="E846" s="3">
        <v>15.53</v>
      </c>
      <c r="F846">
        <v>3</v>
      </c>
      <c r="G846">
        <v>2</v>
      </c>
      <c r="H846" s="4">
        <v>3.1</v>
      </c>
      <c r="I846" t="s">
        <v>46</v>
      </c>
      <c r="J846" t="s">
        <v>33</v>
      </c>
      <c r="L846">
        <f t="shared" si="26"/>
        <v>2020</v>
      </c>
      <c r="M846" t="str">
        <f t="shared" si="27"/>
        <v>COVID Period</v>
      </c>
    </row>
    <row r="847" spans="1:13" x14ac:dyDescent="0.25">
      <c r="A847" s="2">
        <v>43927</v>
      </c>
      <c r="B847" t="s">
        <v>32</v>
      </c>
      <c r="C847">
        <v>21</v>
      </c>
      <c r="D847" s="3">
        <v>6.57</v>
      </c>
      <c r="E847" s="3">
        <v>137.97</v>
      </c>
      <c r="F847">
        <v>33</v>
      </c>
      <c r="G847">
        <v>14</v>
      </c>
      <c r="H847" s="4">
        <v>2.1</v>
      </c>
      <c r="I847" t="s">
        <v>33</v>
      </c>
      <c r="J847" t="s">
        <v>33</v>
      </c>
      <c r="L847">
        <f t="shared" si="26"/>
        <v>2020</v>
      </c>
      <c r="M847" t="str">
        <f t="shared" si="27"/>
        <v>COVID Period</v>
      </c>
    </row>
    <row r="848" spans="1:13" x14ac:dyDescent="0.25">
      <c r="A848" s="2">
        <v>43927</v>
      </c>
      <c r="B848" t="s">
        <v>34</v>
      </c>
      <c r="C848">
        <v>18</v>
      </c>
      <c r="D848" s="3">
        <v>6.98</v>
      </c>
      <c r="E848" s="3">
        <v>125.64</v>
      </c>
      <c r="F848">
        <v>23</v>
      </c>
      <c r="G848">
        <v>6</v>
      </c>
      <c r="H848" s="4">
        <v>1.9</v>
      </c>
      <c r="I848" t="s">
        <v>33</v>
      </c>
      <c r="J848" t="s">
        <v>33</v>
      </c>
      <c r="L848">
        <f t="shared" si="26"/>
        <v>2020</v>
      </c>
      <c r="M848" t="str">
        <f t="shared" si="27"/>
        <v>COVID Period</v>
      </c>
    </row>
    <row r="849" spans="1:13" x14ac:dyDescent="0.25">
      <c r="A849" s="2">
        <v>43927</v>
      </c>
      <c r="B849" t="s">
        <v>35</v>
      </c>
      <c r="C849">
        <v>10</v>
      </c>
      <c r="D849" s="3">
        <v>6</v>
      </c>
      <c r="E849" s="3">
        <v>60</v>
      </c>
      <c r="F849">
        <v>15</v>
      </c>
      <c r="G849">
        <v>6</v>
      </c>
      <c r="H849" s="4">
        <v>2.2999999999999998</v>
      </c>
      <c r="I849" t="s">
        <v>33</v>
      </c>
      <c r="J849" t="s">
        <v>33</v>
      </c>
      <c r="L849">
        <f t="shared" si="26"/>
        <v>2020</v>
      </c>
      <c r="M849" t="str">
        <f t="shared" si="27"/>
        <v>COVID Period</v>
      </c>
    </row>
    <row r="850" spans="1:13" x14ac:dyDescent="0.25">
      <c r="A850" s="2">
        <v>43927</v>
      </c>
      <c r="B850" t="s">
        <v>36</v>
      </c>
      <c r="C850">
        <v>14</v>
      </c>
      <c r="D850" s="3">
        <v>6.21</v>
      </c>
      <c r="E850" s="3">
        <v>86.94</v>
      </c>
      <c r="F850">
        <v>18</v>
      </c>
      <c r="G850">
        <v>4</v>
      </c>
      <c r="H850" s="4">
        <v>1.5</v>
      </c>
      <c r="I850" t="s">
        <v>33</v>
      </c>
      <c r="J850" t="s">
        <v>33</v>
      </c>
      <c r="L850">
        <f t="shared" si="26"/>
        <v>2020</v>
      </c>
      <c r="M850" t="str">
        <f t="shared" si="27"/>
        <v>COVID Period</v>
      </c>
    </row>
    <row r="851" spans="1:13" x14ac:dyDescent="0.25">
      <c r="A851" s="2">
        <v>43927</v>
      </c>
      <c r="B851" t="s">
        <v>37</v>
      </c>
      <c r="C851">
        <v>31</v>
      </c>
      <c r="D851" s="3">
        <v>3.08</v>
      </c>
      <c r="E851" s="3">
        <v>95.48</v>
      </c>
      <c r="F851">
        <v>50</v>
      </c>
      <c r="G851">
        <v>27</v>
      </c>
      <c r="H851" s="4">
        <v>0.2</v>
      </c>
      <c r="I851" t="s">
        <v>33</v>
      </c>
      <c r="J851" t="s">
        <v>33</v>
      </c>
      <c r="L851">
        <f t="shared" si="26"/>
        <v>2020</v>
      </c>
      <c r="M851" t="str">
        <f t="shared" si="27"/>
        <v>COVID Period</v>
      </c>
    </row>
    <row r="852" spans="1:13" x14ac:dyDescent="0.25">
      <c r="A852" s="2">
        <v>43927</v>
      </c>
      <c r="B852" t="s">
        <v>38</v>
      </c>
      <c r="C852">
        <v>13</v>
      </c>
      <c r="D852" s="3">
        <v>8.36</v>
      </c>
      <c r="E852" s="3">
        <v>108.68</v>
      </c>
      <c r="F852">
        <v>14</v>
      </c>
      <c r="G852">
        <v>3</v>
      </c>
      <c r="H852" s="4">
        <v>3.1</v>
      </c>
      <c r="I852" t="s">
        <v>33</v>
      </c>
      <c r="J852" t="s">
        <v>33</v>
      </c>
      <c r="L852">
        <f t="shared" si="26"/>
        <v>2020</v>
      </c>
      <c r="M852" t="str">
        <f t="shared" si="27"/>
        <v>COVID Period</v>
      </c>
    </row>
    <row r="853" spans="1:13" x14ac:dyDescent="0.25">
      <c r="A853" s="2">
        <v>43927</v>
      </c>
      <c r="B853" t="s">
        <v>39</v>
      </c>
      <c r="C853">
        <v>22</v>
      </c>
      <c r="D853" s="3">
        <v>11.73</v>
      </c>
      <c r="E853" s="3">
        <v>258.06</v>
      </c>
      <c r="F853">
        <v>33</v>
      </c>
      <c r="G853">
        <v>14</v>
      </c>
      <c r="H853" s="4">
        <v>2.6</v>
      </c>
      <c r="I853" t="s">
        <v>33</v>
      </c>
      <c r="J853" t="s">
        <v>33</v>
      </c>
      <c r="L853">
        <f t="shared" si="26"/>
        <v>2020</v>
      </c>
      <c r="M853" t="str">
        <f t="shared" si="27"/>
        <v>COVID Period</v>
      </c>
    </row>
    <row r="854" spans="1:13" x14ac:dyDescent="0.25">
      <c r="A854" s="2">
        <v>43927</v>
      </c>
      <c r="B854" t="s">
        <v>40</v>
      </c>
      <c r="C854">
        <v>22</v>
      </c>
      <c r="D854" s="3">
        <v>0.67</v>
      </c>
      <c r="E854" s="3">
        <v>14.74</v>
      </c>
      <c r="F854">
        <v>24</v>
      </c>
      <c r="G854">
        <v>4</v>
      </c>
      <c r="H854" s="4">
        <v>3.1</v>
      </c>
      <c r="I854" t="s">
        <v>46</v>
      </c>
      <c r="J854" t="s">
        <v>33</v>
      </c>
      <c r="K854" t="s">
        <v>47</v>
      </c>
      <c r="L854">
        <f t="shared" si="26"/>
        <v>2020</v>
      </c>
      <c r="M854" t="str">
        <f t="shared" si="27"/>
        <v>COVID Period</v>
      </c>
    </row>
    <row r="855" spans="1:13" x14ac:dyDescent="0.25">
      <c r="A855" s="2">
        <v>43927</v>
      </c>
      <c r="B855" t="s">
        <v>41</v>
      </c>
      <c r="C855">
        <v>21</v>
      </c>
      <c r="D855" s="3">
        <v>1.32</v>
      </c>
      <c r="E855" s="3">
        <v>27.72</v>
      </c>
      <c r="F855">
        <v>23</v>
      </c>
      <c r="G855">
        <v>5</v>
      </c>
      <c r="H855" s="4">
        <v>3.9</v>
      </c>
      <c r="I855" t="s">
        <v>46</v>
      </c>
      <c r="J855" t="s">
        <v>33</v>
      </c>
      <c r="K855" t="s">
        <v>47</v>
      </c>
      <c r="L855">
        <f t="shared" si="26"/>
        <v>2020</v>
      </c>
      <c r="M855" t="str">
        <f t="shared" si="27"/>
        <v>COVID Period</v>
      </c>
    </row>
    <row r="856" spans="1:13" x14ac:dyDescent="0.25">
      <c r="A856" s="2">
        <v>43927</v>
      </c>
      <c r="B856" t="s">
        <v>42</v>
      </c>
      <c r="C856">
        <v>34</v>
      </c>
      <c r="D856" s="3">
        <v>4.12</v>
      </c>
      <c r="E856" s="3">
        <v>140.08000000000001</v>
      </c>
      <c r="F856">
        <v>50</v>
      </c>
      <c r="G856">
        <v>21</v>
      </c>
      <c r="H856" s="4">
        <v>4.9000000000000004</v>
      </c>
      <c r="I856" t="s">
        <v>46</v>
      </c>
      <c r="J856" t="s">
        <v>33</v>
      </c>
      <c r="K856" t="s">
        <v>47</v>
      </c>
      <c r="L856">
        <f t="shared" si="26"/>
        <v>2020</v>
      </c>
      <c r="M856" t="str">
        <f t="shared" si="27"/>
        <v>COVID Period</v>
      </c>
    </row>
    <row r="857" spans="1:13" x14ac:dyDescent="0.25">
      <c r="A857" s="2">
        <v>43927</v>
      </c>
      <c r="B857" t="s">
        <v>43</v>
      </c>
      <c r="C857">
        <v>25</v>
      </c>
      <c r="D857" s="3">
        <v>5.54</v>
      </c>
      <c r="E857" s="3">
        <v>138.5</v>
      </c>
      <c r="F857">
        <v>33</v>
      </c>
      <c r="G857">
        <v>10</v>
      </c>
      <c r="H857" s="4">
        <v>4.3</v>
      </c>
      <c r="I857" t="s">
        <v>46</v>
      </c>
      <c r="J857" t="s">
        <v>33</v>
      </c>
      <c r="L857">
        <f t="shared" si="26"/>
        <v>2020</v>
      </c>
      <c r="M857" t="str">
        <f t="shared" si="27"/>
        <v>COVID Period</v>
      </c>
    </row>
    <row r="858" spans="1:13" x14ac:dyDescent="0.25">
      <c r="A858" s="2">
        <v>43927</v>
      </c>
      <c r="B858" t="s">
        <v>44</v>
      </c>
      <c r="C858">
        <v>1</v>
      </c>
      <c r="D858" s="3">
        <v>4.9400000000000004</v>
      </c>
      <c r="E858" s="3">
        <v>4.9400000000000004</v>
      </c>
      <c r="F858">
        <v>3</v>
      </c>
      <c r="G858">
        <v>2</v>
      </c>
      <c r="H858" s="4">
        <v>2.7</v>
      </c>
      <c r="I858" t="s">
        <v>46</v>
      </c>
      <c r="J858" t="s">
        <v>33</v>
      </c>
      <c r="K858" t="s">
        <v>47</v>
      </c>
      <c r="L858">
        <f t="shared" si="26"/>
        <v>2020</v>
      </c>
      <c r="M858" t="str">
        <f t="shared" si="27"/>
        <v>COVID Period</v>
      </c>
    </row>
    <row r="859" spans="1:13" x14ac:dyDescent="0.25">
      <c r="A859" s="2">
        <v>43927</v>
      </c>
      <c r="B859" t="s">
        <v>45</v>
      </c>
      <c r="C859">
        <v>1</v>
      </c>
      <c r="D859" s="3">
        <v>15.72</v>
      </c>
      <c r="E859" s="3">
        <v>15.72</v>
      </c>
      <c r="F859">
        <v>3</v>
      </c>
      <c r="G859">
        <v>2</v>
      </c>
      <c r="H859" s="4">
        <v>2.2000000000000002</v>
      </c>
      <c r="I859" t="s">
        <v>46</v>
      </c>
      <c r="J859" t="s">
        <v>33</v>
      </c>
      <c r="L859">
        <f t="shared" si="26"/>
        <v>2020</v>
      </c>
      <c r="M859" t="str">
        <f t="shared" si="27"/>
        <v>COVID Period</v>
      </c>
    </row>
    <row r="860" spans="1:13" x14ac:dyDescent="0.25">
      <c r="A860" s="2">
        <v>43934</v>
      </c>
      <c r="B860" t="s">
        <v>32</v>
      </c>
      <c r="C860">
        <v>15</v>
      </c>
      <c r="D860" s="3">
        <v>7.03</v>
      </c>
      <c r="E860" s="3">
        <v>105.45</v>
      </c>
      <c r="F860">
        <v>21</v>
      </c>
      <c r="G860">
        <v>8</v>
      </c>
      <c r="H860" s="4">
        <v>1.9</v>
      </c>
      <c r="I860" t="s">
        <v>33</v>
      </c>
      <c r="J860" t="s">
        <v>33</v>
      </c>
      <c r="L860">
        <f t="shared" si="26"/>
        <v>2020</v>
      </c>
      <c r="M860" t="str">
        <f t="shared" si="27"/>
        <v>COVID Period</v>
      </c>
    </row>
    <row r="861" spans="1:13" x14ac:dyDescent="0.25">
      <c r="A861" s="2">
        <v>43934</v>
      </c>
      <c r="B861" t="s">
        <v>34</v>
      </c>
      <c r="C861">
        <v>15</v>
      </c>
      <c r="D861" s="3">
        <v>6.95</v>
      </c>
      <c r="E861" s="3">
        <v>104.25</v>
      </c>
      <c r="F861">
        <v>17</v>
      </c>
      <c r="G861">
        <v>3</v>
      </c>
      <c r="H861" s="4">
        <v>1.3</v>
      </c>
      <c r="I861" t="s">
        <v>33</v>
      </c>
      <c r="J861" t="s">
        <v>33</v>
      </c>
      <c r="L861">
        <f t="shared" si="26"/>
        <v>2020</v>
      </c>
      <c r="M861" t="str">
        <f t="shared" si="27"/>
        <v>COVID Period</v>
      </c>
    </row>
    <row r="862" spans="1:13" x14ac:dyDescent="0.25">
      <c r="A862" s="2">
        <v>43934</v>
      </c>
      <c r="B862" t="s">
        <v>35</v>
      </c>
      <c r="C862">
        <v>10</v>
      </c>
      <c r="D862" s="3">
        <v>5.99</v>
      </c>
      <c r="E862" s="3">
        <v>59.9</v>
      </c>
      <c r="F862">
        <v>13</v>
      </c>
      <c r="G862">
        <v>4</v>
      </c>
      <c r="H862" s="4">
        <v>1.7</v>
      </c>
      <c r="I862" t="s">
        <v>33</v>
      </c>
      <c r="J862" t="s">
        <v>33</v>
      </c>
      <c r="L862">
        <f t="shared" si="26"/>
        <v>2020</v>
      </c>
      <c r="M862" t="str">
        <f t="shared" si="27"/>
        <v>COVID Period</v>
      </c>
    </row>
    <row r="863" spans="1:13" x14ac:dyDescent="0.25">
      <c r="A863" s="2">
        <v>43934</v>
      </c>
      <c r="B863" t="s">
        <v>36</v>
      </c>
      <c r="C863">
        <v>13</v>
      </c>
      <c r="D863" s="3">
        <v>6.22</v>
      </c>
      <c r="E863" s="3">
        <v>80.86</v>
      </c>
      <c r="F863">
        <v>15</v>
      </c>
      <c r="G863">
        <v>2</v>
      </c>
      <c r="H863" s="4">
        <v>0.6</v>
      </c>
      <c r="I863" t="s">
        <v>33</v>
      </c>
      <c r="J863" t="s">
        <v>33</v>
      </c>
      <c r="L863">
        <f t="shared" si="26"/>
        <v>2020</v>
      </c>
      <c r="M863" t="str">
        <f t="shared" si="27"/>
        <v>COVID Period</v>
      </c>
    </row>
    <row r="864" spans="1:13" x14ac:dyDescent="0.25">
      <c r="A864" s="2">
        <v>43934</v>
      </c>
      <c r="B864" t="s">
        <v>37</v>
      </c>
      <c r="C864">
        <v>22</v>
      </c>
      <c r="D864" s="3">
        <v>3.19</v>
      </c>
      <c r="E864" s="3">
        <v>70.180000000000007</v>
      </c>
      <c r="F864">
        <v>31</v>
      </c>
      <c r="G864">
        <v>13</v>
      </c>
      <c r="H864" s="4">
        <v>1.9</v>
      </c>
      <c r="I864" t="s">
        <v>33</v>
      </c>
      <c r="J864" t="s">
        <v>33</v>
      </c>
      <c r="L864">
        <f t="shared" si="26"/>
        <v>2020</v>
      </c>
      <c r="M864" t="str">
        <f t="shared" si="27"/>
        <v>COVID Period</v>
      </c>
    </row>
    <row r="865" spans="1:13" x14ac:dyDescent="0.25">
      <c r="A865" s="2">
        <v>43934</v>
      </c>
      <c r="B865" t="s">
        <v>38</v>
      </c>
      <c r="C865">
        <v>18</v>
      </c>
      <c r="D865" s="3">
        <v>8.68</v>
      </c>
      <c r="E865" s="3">
        <v>156.24</v>
      </c>
      <c r="F865">
        <v>26</v>
      </c>
      <c r="G865">
        <v>12</v>
      </c>
      <c r="H865" s="4">
        <v>2</v>
      </c>
      <c r="I865" t="s">
        <v>33</v>
      </c>
      <c r="J865" t="s">
        <v>33</v>
      </c>
      <c r="L865">
        <f t="shared" si="26"/>
        <v>2020</v>
      </c>
      <c r="M865" t="str">
        <f t="shared" si="27"/>
        <v>COVID Period</v>
      </c>
    </row>
    <row r="866" spans="1:13" x14ac:dyDescent="0.25">
      <c r="A866" s="2">
        <v>43934</v>
      </c>
      <c r="B866" t="s">
        <v>39</v>
      </c>
      <c r="C866">
        <v>34</v>
      </c>
      <c r="D866" s="3">
        <v>12.07</v>
      </c>
      <c r="E866" s="3">
        <v>410.38</v>
      </c>
      <c r="F866">
        <v>49</v>
      </c>
      <c r="G866">
        <v>22</v>
      </c>
      <c r="H866" s="4">
        <v>0.1</v>
      </c>
      <c r="I866" t="s">
        <v>33</v>
      </c>
      <c r="J866" t="s">
        <v>33</v>
      </c>
      <c r="L866">
        <f t="shared" si="26"/>
        <v>2020</v>
      </c>
      <c r="M866" t="str">
        <f t="shared" si="27"/>
        <v>COVID Period</v>
      </c>
    </row>
    <row r="867" spans="1:13" x14ac:dyDescent="0.25">
      <c r="A867" s="2">
        <v>43934</v>
      </c>
      <c r="B867" t="s">
        <v>40</v>
      </c>
      <c r="C867">
        <v>42</v>
      </c>
      <c r="D867" s="3">
        <v>0.65</v>
      </c>
      <c r="E867" s="3">
        <v>27.3</v>
      </c>
      <c r="F867">
        <v>46</v>
      </c>
      <c r="G867">
        <v>8</v>
      </c>
      <c r="H867" s="4">
        <v>3.5</v>
      </c>
      <c r="I867" t="s">
        <v>46</v>
      </c>
      <c r="J867" t="s">
        <v>33</v>
      </c>
      <c r="K867" t="s">
        <v>47</v>
      </c>
      <c r="L867">
        <f t="shared" si="26"/>
        <v>2020</v>
      </c>
      <c r="M867" t="str">
        <f t="shared" si="27"/>
        <v>COVID Period</v>
      </c>
    </row>
    <row r="868" spans="1:13" x14ac:dyDescent="0.25">
      <c r="A868" s="2">
        <v>43934</v>
      </c>
      <c r="B868" t="s">
        <v>41</v>
      </c>
      <c r="C868">
        <v>26</v>
      </c>
      <c r="D868" s="3">
        <v>1.33</v>
      </c>
      <c r="E868" s="3">
        <v>34.58</v>
      </c>
      <c r="F868">
        <v>31</v>
      </c>
      <c r="G868">
        <v>9</v>
      </c>
      <c r="H868" s="4">
        <v>5.3</v>
      </c>
      <c r="I868" t="s">
        <v>46</v>
      </c>
      <c r="J868" t="s">
        <v>33</v>
      </c>
      <c r="K868" t="s">
        <v>47</v>
      </c>
      <c r="L868">
        <f t="shared" si="26"/>
        <v>2020</v>
      </c>
      <c r="M868" t="str">
        <f t="shared" si="27"/>
        <v>COVID Period</v>
      </c>
    </row>
    <row r="869" spans="1:13" x14ac:dyDescent="0.25">
      <c r="A869" s="2">
        <v>43934</v>
      </c>
      <c r="B869" t="s">
        <v>42</v>
      </c>
      <c r="C869">
        <v>32</v>
      </c>
      <c r="D869" s="3">
        <v>4.0999999999999996</v>
      </c>
      <c r="E869" s="3">
        <v>131.19999999999999</v>
      </c>
      <c r="F869">
        <v>46</v>
      </c>
      <c r="G869">
        <v>21</v>
      </c>
      <c r="H869" s="4">
        <v>2.4</v>
      </c>
      <c r="I869" t="s">
        <v>46</v>
      </c>
      <c r="J869" t="s">
        <v>33</v>
      </c>
      <c r="K869" t="s">
        <v>47</v>
      </c>
      <c r="L869">
        <f t="shared" si="26"/>
        <v>2020</v>
      </c>
      <c r="M869" t="str">
        <f t="shared" si="27"/>
        <v>COVID Period</v>
      </c>
    </row>
    <row r="870" spans="1:13" x14ac:dyDescent="0.25">
      <c r="A870" s="2">
        <v>43934</v>
      </c>
      <c r="B870" t="s">
        <v>43</v>
      </c>
      <c r="C870">
        <v>14</v>
      </c>
      <c r="D870" s="3">
        <v>5.43</v>
      </c>
      <c r="E870" s="3">
        <v>76.02</v>
      </c>
      <c r="F870">
        <v>18</v>
      </c>
      <c r="G870">
        <v>4</v>
      </c>
      <c r="H870" s="4">
        <v>4.9000000000000004</v>
      </c>
      <c r="I870" t="s">
        <v>46</v>
      </c>
      <c r="J870" t="s">
        <v>33</v>
      </c>
      <c r="L870">
        <f t="shared" si="26"/>
        <v>2020</v>
      </c>
      <c r="M870" t="str">
        <f t="shared" si="27"/>
        <v>COVID Period</v>
      </c>
    </row>
    <row r="871" spans="1:13" x14ac:dyDescent="0.25">
      <c r="A871" s="2">
        <v>43934</v>
      </c>
      <c r="B871" t="s">
        <v>44</v>
      </c>
      <c r="C871">
        <v>0</v>
      </c>
      <c r="D871" s="3">
        <v>4.72</v>
      </c>
      <c r="E871" s="3">
        <v>0</v>
      </c>
      <c r="F871">
        <v>3</v>
      </c>
      <c r="G871">
        <v>3</v>
      </c>
      <c r="H871" s="4">
        <v>3.6</v>
      </c>
      <c r="I871" t="s">
        <v>33</v>
      </c>
      <c r="J871" t="s">
        <v>33</v>
      </c>
      <c r="L871">
        <f t="shared" si="26"/>
        <v>2020</v>
      </c>
      <c r="M871" t="str">
        <f t="shared" si="27"/>
        <v>COVID Period</v>
      </c>
    </row>
    <row r="872" spans="1:13" x14ac:dyDescent="0.25">
      <c r="A872" s="2">
        <v>43934</v>
      </c>
      <c r="B872" t="s">
        <v>45</v>
      </c>
      <c r="C872">
        <v>0</v>
      </c>
      <c r="D872" s="3">
        <v>15.34</v>
      </c>
      <c r="E872" s="3">
        <v>0</v>
      </c>
      <c r="F872">
        <v>3</v>
      </c>
      <c r="G872">
        <v>3</v>
      </c>
      <c r="H872" s="4">
        <v>1.5</v>
      </c>
      <c r="I872" t="s">
        <v>33</v>
      </c>
      <c r="J872" t="s">
        <v>33</v>
      </c>
      <c r="L872">
        <f t="shared" si="26"/>
        <v>2020</v>
      </c>
      <c r="M872" t="str">
        <f t="shared" si="27"/>
        <v>COVID Period</v>
      </c>
    </row>
    <row r="873" spans="1:13" x14ac:dyDescent="0.25">
      <c r="A873" s="2">
        <v>43941</v>
      </c>
      <c r="B873" t="s">
        <v>32</v>
      </c>
      <c r="C873">
        <v>16</v>
      </c>
      <c r="D873" s="3">
        <v>6.77</v>
      </c>
      <c r="E873" s="3">
        <v>108.32</v>
      </c>
      <c r="F873">
        <v>25</v>
      </c>
      <c r="G873">
        <v>9</v>
      </c>
      <c r="H873" s="4">
        <v>2</v>
      </c>
      <c r="I873" t="s">
        <v>33</v>
      </c>
      <c r="J873" t="s">
        <v>33</v>
      </c>
      <c r="L873">
        <f t="shared" si="26"/>
        <v>2020</v>
      </c>
      <c r="M873" t="str">
        <f t="shared" si="27"/>
        <v>COVID Period</v>
      </c>
    </row>
    <row r="874" spans="1:13" x14ac:dyDescent="0.25">
      <c r="A874" s="2">
        <v>43941</v>
      </c>
      <c r="B874" t="s">
        <v>34</v>
      </c>
      <c r="C874">
        <v>14</v>
      </c>
      <c r="D874" s="3">
        <v>7.25</v>
      </c>
      <c r="E874" s="3">
        <v>101.5</v>
      </c>
      <c r="F874">
        <v>21</v>
      </c>
      <c r="G874">
        <v>11</v>
      </c>
      <c r="H874" s="4">
        <v>0.5</v>
      </c>
      <c r="I874" t="s">
        <v>33</v>
      </c>
      <c r="J874" t="s">
        <v>33</v>
      </c>
      <c r="L874">
        <f t="shared" si="26"/>
        <v>2020</v>
      </c>
      <c r="M874" t="str">
        <f t="shared" si="27"/>
        <v>COVID Period</v>
      </c>
    </row>
    <row r="875" spans="1:13" x14ac:dyDescent="0.25">
      <c r="A875" s="2">
        <v>43941</v>
      </c>
      <c r="B875" t="s">
        <v>35</v>
      </c>
      <c r="C875">
        <v>10</v>
      </c>
      <c r="D875" s="3">
        <v>5.76</v>
      </c>
      <c r="E875" s="3">
        <v>57.6</v>
      </c>
      <c r="F875">
        <v>15</v>
      </c>
      <c r="G875">
        <v>5</v>
      </c>
      <c r="H875" s="4">
        <v>2.1</v>
      </c>
      <c r="I875" t="s">
        <v>33</v>
      </c>
      <c r="J875" t="s">
        <v>33</v>
      </c>
      <c r="L875">
        <f t="shared" si="26"/>
        <v>2020</v>
      </c>
      <c r="M875" t="str">
        <f t="shared" si="27"/>
        <v>COVID Period</v>
      </c>
    </row>
    <row r="876" spans="1:13" x14ac:dyDescent="0.25">
      <c r="A876" s="2">
        <v>43941</v>
      </c>
      <c r="B876" t="s">
        <v>36</v>
      </c>
      <c r="C876">
        <v>13</v>
      </c>
      <c r="D876" s="3">
        <v>6.34</v>
      </c>
      <c r="E876" s="3">
        <v>82.42</v>
      </c>
      <c r="F876">
        <v>19</v>
      </c>
      <c r="G876">
        <v>7</v>
      </c>
      <c r="H876" s="4">
        <v>2.5</v>
      </c>
      <c r="I876" t="s">
        <v>33</v>
      </c>
      <c r="J876" t="s">
        <v>33</v>
      </c>
      <c r="L876">
        <f t="shared" si="26"/>
        <v>2020</v>
      </c>
      <c r="M876" t="str">
        <f t="shared" si="27"/>
        <v>COVID Period</v>
      </c>
    </row>
    <row r="877" spans="1:13" x14ac:dyDescent="0.25">
      <c r="A877" s="2">
        <v>43941</v>
      </c>
      <c r="B877" t="s">
        <v>37</v>
      </c>
      <c r="C877">
        <v>35</v>
      </c>
      <c r="D877" s="3">
        <v>3.35</v>
      </c>
      <c r="E877" s="3">
        <v>117.25</v>
      </c>
      <c r="F877">
        <v>57</v>
      </c>
      <c r="G877">
        <v>31</v>
      </c>
      <c r="H877" s="4">
        <v>2</v>
      </c>
      <c r="I877" t="s">
        <v>33</v>
      </c>
      <c r="J877" t="s">
        <v>33</v>
      </c>
      <c r="L877">
        <f t="shared" si="26"/>
        <v>2020</v>
      </c>
      <c r="M877" t="str">
        <f t="shared" si="27"/>
        <v>COVID Period</v>
      </c>
    </row>
    <row r="878" spans="1:13" x14ac:dyDescent="0.25">
      <c r="A878" s="2">
        <v>43941</v>
      </c>
      <c r="B878" t="s">
        <v>38</v>
      </c>
      <c r="C878">
        <v>14</v>
      </c>
      <c r="D878" s="3">
        <v>8.44</v>
      </c>
      <c r="E878" s="3">
        <v>118.16</v>
      </c>
      <c r="F878">
        <v>23</v>
      </c>
      <c r="G878">
        <v>12</v>
      </c>
      <c r="H878" s="4">
        <v>2.1</v>
      </c>
      <c r="I878" t="s">
        <v>33</v>
      </c>
      <c r="J878" t="s">
        <v>33</v>
      </c>
      <c r="L878">
        <f t="shared" si="26"/>
        <v>2020</v>
      </c>
      <c r="M878" t="str">
        <f t="shared" si="27"/>
        <v>COVID Period</v>
      </c>
    </row>
    <row r="879" spans="1:13" x14ac:dyDescent="0.25">
      <c r="A879" s="2">
        <v>43941</v>
      </c>
      <c r="B879" t="s">
        <v>39</v>
      </c>
      <c r="C879">
        <v>17</v>
      </c>
      <c r="D879" s="3">
        <v>11.36</v>
      </c>
      <c r="E879" s="3">
        <v>193.12</v>
      </c>
      <c r="F879">
        <v>25</v>
      </c>
      <c r="G879">
        <v>12</v>
      </c>
      <c r="H879" s="4">
        <v>1</v>
      </c>
      <c r="I879" t="s">
        <v>33</v>
      </c>
      <c r="J879" t="s">
        <v>33</v>
      </c>
      <c r="L879">
        <f t="shared" si="26"/>
        <v>2020</v>
      </c>
      <c r="M879" t="str">
        <f t="shared" si="27"/>
        <v>COVID Period</v>
      </c>
    </row>
    <row r="880" spans="1:13" x14ac:dyDescent="0.25">
      <c r="A880" s="2">
        <v>43941</v>
      </c>
      <c r="B880" t="s">
        <v>40</v>
      </c>
      <c r="C880">
        <v>36</v>
      </c>
      <c r="D880" s="3">
        <v>0.64</v>
      </c>
      <c r="E880" s="3">
        <v>23.04</v>
      </c>
      <c r="F880">
        <v>49</v>
      </c>
      <c r="G880">
        <v>19</v>
      </c>
      <c r="H880" s="4">
        <v>4.7</v>
      </c>
      <c r="I880" t="s">
        <v>46</v>
      </c>
      <c r="J880" t="s">
        <v>33</v>
      </c>
      <c r="K880" t="s">
        <v>47</v>
      </c>
      <c r="L880">
        <f t="shared" si="26"/>
        <v>2020</v>
      </c>
      <c r="M880" t="str">
        <f t="shared" si="27"/>
        <v>COVID Period</v>
      </c>
    </row>
    <row r="881" spans="1:13" x14ac:dyDescent="0.25">
      <c r="A881" s="2">
        <v>43941</v>
      </c>
      <c r="B881" t="s">
        <v>41</v>
      </c>
      <c r="C881">
        <v>34</v>
      </c>
      <c r="D881" s="3">
        <v>1.36</v>
      </c>
      <c r="E881" s="3">
        <v>46.24</v>
      </c>
      <c r="F881">
        <v>42</v>
      </c>
      <c r="G881">
        <v>9</v>
      </c>
      <c r="H881" s="4">
        <v>5.3</v>
      </c>
      <c r="I881" t="s">
        <v>46</v>
      </c>
      <c r="J881" t="s">
        <v>33</v>
      </c>
      <c r="K881" t="s">
        <v>47</v>
      </c>
      <c r="L881">
        <f t="shared" si="26"/>
        <v>2020</v>
      </c>
      <c r="M881" t="str">
        <f t="shared" si="27"/>
        <v>COVID Period</v>
      </c>
    </row>
    <row r="882" spans="1:13" x14ac:dyDescent="0.25">
      <c r="A882" s="2">
        <v>43941</v>
      </c>
      <c r="B882" t="s">
        <v>42</v>
      </c>
      <c r="C882">
        <v>35</v>
      </c>
      <c r="D882" s="3">
        <v>4.21</v>
      </c>
      <c r="E882" s="3">
        <v>147.35</v>
      </c>
      <c r="F882">
        <v>43</v>
      </c>
      <c r="G882">
        <v>11</v>
      </c>
      <c r="H882" s="4">
        <v>7.5</v>
      </c>
      <c r="I882" t="s">
        <v>46</v>
      </c>
      <c r="J882" t="s">
        <v>33</v>
      </c>
      <c r="K882" t="s">
        <v>47</v>
      </c>
      <c r="L882">
        <f t="shared" si="26"/>
        <v>2020</v>
      </c>
      <c r="M882" t="str">
        <f t="shared" si="27"/>
        <v>COVID Period</v>
      </c>
    </row>
    <row r="883" spans="1:13" x14ac:dyDescent="0.25">
      <c r="A883" s="2">
        <v>43941</v>
      </c>
      <c r="B883" t="s">
        <v>43</v>
      </c>
      <c r="C883">
        <v>18</v>
      </c>
      <c r="D883" s="3">
        <v>5.71</v>
      </c>
      <c r="E883" s="3">
        <v>102.78</v>
      </c>
      <c r="F883">
        <v>28</v>
      </c>
      <c r="G883">
        <v>15</v>
      </c>
      <c r="H883" s="4">
        <v>2.2999999999999998</v>
      </c>
      <c r="I883" t="s">
        <v>46</v>
      </c>
      <c r="J883" t="s">
        <v>33</v>
      </c>
      <c r="L883">
        <f t="shared" si="26"/>
        <v>2020</v>
      </c>
      <c r="M883" t="str">
        <f t="shared" si="27"/>
        <v>COVID Period</v>
      </c>
    </row>
    <row r="884" spans="1:13" x14ac:dyDescent="0.25">
      <c r="A884" s="2">
        <v>43941</v>
      </c>
      <c r="B884" t="s">
        <v>44</v>
      </c>
      <c r="C884">
        <v>0</v>
      </c>
      <c r="D884" s="3">
        <v>4.8600000000000003</v>
      </c>
      <c r="E884" s="3">
        <v>0</v>
      </c>
      <c r="F884">
        <v>3</v>
      </c>
      <c r="G884">
        <v>4</v>
      </c>
      <c r="H884" s="4">
        <v>3.5</v>
      </c>
      <c r="I884" t="s">
        <v>33</v>
      </c>
      <c r="J884" t="s">
        <v>33</v>
      </c>
      <c r="L884">
        <f t="shared" si="26"/>
        <v>2020</v>
      </c>
      <c r="M884" t="str">
        <f t="shared" si="27"/>
        <v>COVID Period</v>
      </c>
    </row>
    <row r="885" spans="1:13" x14ac:dyDescent="0.25">
      <c r="A885" s="2">
        <v>43941</v>
      </c>
      <c r="B885" t="s">
        <v>45</v>
      </c>
      <c r="C885">
        <v>1</v>
      </c>
      <c r="D885" s="3">
        <v>15.12</v>
      </c>
      <c r="E885" s="3">
        <v>15.12</v>
      </c>
      <c r="F885">
        <v>3</v>
      </c>
      <c r="G885">
        <v>2</v>
      </c>
      <c r="H885" s="4">
        <v>2.2999999999999998</v>
      </c>
      <c r="I885" t="s">
        <v>46</v>
      </c>
      <c r="J885" t="s">
        <v>33</v>
      </c>
      <c r="L885">
        <f t="shared" si="26"/>
        <v>2020</v>
      </c>
      <c r="M885" t="str">
        <f t="shared" si="27"/>
        <v>COVID Period</v>
      </c>
    </row>
    <row r="886" spans="1:13" x14ac:dyDescent="0.25">
      <c r="A886" s="2">
        <v>43948</v>
      </c>
      <c r="B886" t="s">
        <v>32</v>
      </c>
      <c r="C886">
        <v>21</v>
      </c>
      <c r="D886" s="3">
        <v>6.57</v>
      </c>
      <c r="E886" s="3">
        <v>137.97</v>
      </c>
      <c r="F886">
        <v>31</v>
      </c>
      <c r="G886">
        <v>14</v>
      </c>
      <c r="H886" s="4">
        <v>1.6</v>
      </c>
      <c r="I886" t="s">
        <v>33</v>
      </c>
      <c r="J886" t="s">
        <v>33</v>
      </c>
      <c r="L886">
        <f t="shared" si="26"/>
        <v>2020</v>
      </c>
      <c r="M886" t="str">
        <f t="shared" si="27"/>
        <v>COVID Period</v>
      </c>
    </row>
    <row r="887" spans="1:13" x14ac:dyDescent="0.25">
      <c r="A887" s="2">
        <v>43948</v>
      </c>
      <c r="B887" t="s">
        <v>34</v>
      </c>
      <c r="C887">
        <v>18</v>
      </c>
      <c r="D887" s="3">
        <v>7.23</v>
      </c>
      <c r="E887" s="3">
        <v>130.13999999999999</v>
      </c>
      <c r="F887">
        <v>28</v>
      </c>
      <c r="G887">
        <v>12</v>
      </c>
      <c r="H887" s="4">
        <v>2.5</v>
      </c>
      <c r="I887" t="s">
        <v>33</v>
      </c>
      <c r="J887" t="s">
        <v>33</v>
      </c>
      <c r="L887">
        <f t="shared" si="26"/>
        <v>2020</v>
      </c>
      <c r="M887" t="str">
        <f t="shared" si="27"/>
        <v>COVID Period</v>
      </c>
    </row>
    <row r="888" spans="1:13" x14ac:dyDescent="0.25">
      <c r="A888" s="2">
        <v>43948</v>
      </c>
      <c r="B888" t="s">
        <v>35</v>
      </c>
      <c r="C888">
        <v>14</v>
      </c>
      <c r="D888" s="3">
        <v>5.97</v>
      </c>
      <c r="E888" s="3">
        <v>83.58</v>
      </c>
      <c r="F888">
        <v>22</v>
      </c>
      <c r="G888">
        <v>10</v>
      </c>
      <c r="H888" s="4">
        <v>1.7</v>
      </c>
      <c r="I888" t="s">
        <v>33</v>
      </c>
      <c r="J888" t="s">
        <v>33</v>
      </c>
      <c r="L888">
        <f t="shared" si="26"/>
        <v>2020</v>
      </c>
      <c r="M888" t="str">
        <f t="shared" si="27"/>
        <v>COVID Period</v>
      </c>
    </row>
    <row r="889" spans="1:13" x14ac:dyDescent="0.25">
      <c r="A889" s="2">
        <v>43948</v>
      </c>
      <c r="B889" t="s">
        <v>36</v>
      </c>
      <c r="C889">
        <v>11</v>
      </c>
      <c r="D889" s="3">
        <v>6.44</v>
      </c>
      <c r="E889" s="3">
        <v>70.84</v>
      </c>
      <c r="F889">
        <v>18</v>
      </c>
      <c r="G889">
        <v>8</v>
      </c>
      <c r="H889" s="4">
        <v>2.2999999999999998</v>
      </c>
      <c r="I889" t="s">
        <v>33</v>
      </c>
      <c r="J889" t="s">
        <v>33</v>
      </c>
      <c r="L889">
        <f t="shared" si="26"/>
        <v>2020</v>
      </c>
      <c r="M889" t="str">
        <f t="shared" si="27"/>
        <v>COVID Period</v>
      </c>
    </row>
    <row r="890" spans="1:13" x14ac:dyDescent="0.25">
      <c r="A890" s="2">
        <v>43948</v>
      </c>
      <c r="B890" t="s">
        <v>37</v>
      </c>
      <c r="C890">
        <v>28</v>
      </c>
      <c r="D890" s="3">
        <v>3.23</v>
      </c>
      <c r="E890" s="3">
        <v>90.44</v>
      </c>
      <c r="F890">
        <v>39</v>
      </c>
      <c r="G890">
        <v>14</v>
      </c>
      <c r="H890" s="4">
        <v>2.9</v>
      </c>
      <c r="I890" t="s">
        <v>33</v>
      </c>
      <c r="J890" t="s">
        <v>33</v>
      </c>
      <c r="L890">
        <f t="shared" si="26"/>
        <v>2020</v>
      </c>
      <c r="M890" t="str">
        <f t="shared" si="27"/>
        <v>COVID Period</v>
      </c>
    </row>
    <row r="891" spans="1:13" x14ac:dyDescent="0.25">
      <c r="A891" s="2">
        <v>43948</v>
      </c>
      <c r="B891" t="s">
        <v>38</v>
      </c>
      <c r="C891">
        <v>14</v>
      </c>
      <c r="D891" s="3">
        <v>8.76</v>
      </c>
      <c r="E891" s="3">
        <v>122.64</v>
      </c>
      <c r="F891">
        <v>22</v>
      </c>
      <c r="G891">
        <v>11</v>
      </c>
      <c r="H891" s="4">
        <v>2</v>
      </c>
      <c r="I891" t="s">
        <v>33</v>
      </c>
      <c r="J891" t="s">
        <v>33</v>
      </c>
      <c r="L891">
        <f t="shared" si="26"/>
        <v>2020</v>
      </c>
      <c r="M891" t="str">
        <f t="shared" si="27"/>
        <v>COVID Period</v>
      </c>
    </row>
    <row r="892" spans="1:13" x14ac:dyDescent="0.25">
      <c r="A892" s="2">
        <v>43948</v>
      </c>
      <c r="B892" t="s">
        <v>39</v>
      </c>
      <c r="C892">
        <v>24</v>
      </c>
      <c r="D892" s="3">
        <v>11.23</v>
      </c>
      <c r="E892" s="3">
        <v>269.52</v>
      </c>
      <c r="F892">
        <v>39</v>
      </c>
      <c r="G892">
        <v>20</v>
      </c>
      <c r="H892" s="4">
        <v>1.2</v>
      </c>
      <c r="I892" t="s">
        <v>33</v>
      </c>
      <c r="J892" t="s">
        <v>33</v>
      </c>
      <c r="L892">
        <f t="shared" si="26"/>
        <v>2020</v>
      </c>
      <c r="M892" t="str">
        <f t="shared" si="27"/>
        <v>COVID Period</v>
      </c>
    </row>
    <row r="893" spans="1:13" x14ac:dyDescent="0.25">
      <c r="A893" s="2">
        <v>43948</v>
      </c>
      <c r="B893" t="s">
        <v>40</v>
      </c>
      <c r="C893">
        <v>46</v>
      </c>
      <c r="D893" s="3">
        <v>0.64</v>
      </c>
      <c r="E893" s="3">
        <v>29.44</v>
      </c>
      <c r="F893">
        <v>72</v>
      </c>
      <c r="G893">
        <v>28</v>
      </c>
      <c r="H893" s="4">
        <v>3.5</v>
      </c>
      <c r="I893" t="s">
        <v>46</v>
      </c>
      <c r="J893" t="s">
        <v>33</v>
      </c>
      <c r="K893" t="s">
        <v>47</v>
      </c>
      <c r="L893">
        <f t="shared" si="26"/>
        <v>2020</v>
      </c>
      <c r="M893" t="str">
        <f t="shared" si="27"/>
        <v>COVID Period</v>
      </c>
    </row>
    <row r="894" spans="1:13" x14ac:dyDescent="0.25">
      <c r="A894" s="2">
        <v>43948</v>
      </c>
      <c r="B894" t="s">
        <v>41</v>
      </c>
      <c r="C894">
        <v>24</v>
      </c>
      <c r="D894" s="3">
        <v>1.3</v>
      </c>
      <c r="E894" s="3">
        <v>31.2</v>
      </c>
      <c r="F894">
        <v>38</v>
      </c>
      <c r="G894">
        <v>18</v>
      </c>
      <c r="H894" s="4">
        <v>2.6</v>
      </c>
      <c r="I894" t="s">
        <v>46</v>
      </c>
      <c r="J894" t="s">
        <v>33</v>
      </c>
      <c r="K894" t="s">
        <v>47</v>
      </c>
      <c r="L894">
        <f t="shared" si="26"/>
        <v>2020</v>
      </c>
      <c r="M894" t="str">
        <f t="shared" si="27"/>
        <v>COVID Period</v>
      </c>
    </row>
    <row r="895" spans="1:13" x14ac:dyDescent="0.25">
      <c r="A895" s="2">
        <v>43948</v>
      </c>
      <c r="B895" t="s">
        <v>42</v>
      </c>
      <c r="C895">
        <v>31</v>
      </c>
      <c r="D895" s="3">
        <v>4.2</v>
      </c>
      <c r="E895" s="3">
        <v>130.19999999999999</v>
      </c>
      <c r="F895">
        <v>42</v>
      </c>
      <c r="G895">
        <v>12</v>
      </c>
      <c r="H895" s="4">
        <v>2</v>
      </c>
      <c r="I895" t="s">
        <v>46</v>
      </c>
      <c r="J895" t="s">
        <v>33</v>
      </c>
      <c r="K895" t="s">
        <v>47</v>
      </c>
      <c r="L895">
        <f t="shared" si="26"/>
        <v>2020</v>
      </c>
      <c r="M895" t="str">
        <f t="shared" si="27"/>
        <v>COVID Period</v>
      </c>
    </row>
    <row r="896" spans="1:13" x14ac:dyDescent="0.25">
      <c r="A896" s="2">
        <v>43948</v>
      </c>
      <c r="B896" t="s">
        <v>43</v>
      </c>
      <c r="C896">
        <v>25</v>
      </c>
      <c r="D896" s="3">
        <v>5.61</v>
      </c>
      <c r="E896" s="3">
        <v>140.25</v>
      </c>
      <c r="F896">
        <v>36</v>
      </c>
      <c r="G896">
        <v>13</v>
      </c>
      <c r="H896" s="4">
        <v>5</v>
      </c>
      <c r="I896" t="s">
        <v>46</v>
      </c>
      <c r="J896" t="s">
        <v>33</v>
      </c>
      <c r="L896">
        <f t="shared" si="26"/>
        <v>2020</v>
      </c>
      <c r="M896" t="str">
        <f t="shared" si="27"/>
        <v>COVID Period</v>
      </c>
    </row>
    <row r="897" spans="1:13" x14ac:dyDescent="0.25">
      <c r="A897" s="2">
        <v>43948</v>
      </c>
      <c r="B897" t="s">
        <v>44</v>
      </c>
      <c r="C897">
        <v>1</v>
      </c>
      <c r="D897" s="3">
        <v>5.03</v>
      </c>
      <c r="E897" s="3">
        <v>5.03</v>
      </c>
      <c r="F897">
        <v>3</v>
      </c>
      <c r="G897">
        <v>2</v>
      </c>
      <c r="H897" s="4">
        <v>3</v>
      </c>
      <c r="I897" t="s">
        <v>46</v>
      </c>
      <c r="J897" t="s">
        <v>46</v>
      </c>
      <c r="K897" t="s">
        <v>47</v>
      </c>
      <c r="L897">
        <f t="shared" si="26"/>
        <v>2020</v>
      </c>
      <c r="M897" t="str">
        <f t="shared" si="27"/>
        <v>COVID Period</v>
      </c>
    </row>
    <row r="898" spans="1:13" x14ac:dyDescent="0.25">
      <c r="A898" s="2">
        <v>43948</v>
      </c>
      <c r="B898" t="s">
        <v>45</v>
      </c>
      <c r="C898">
        <v>0</v>
      </c>
      <c r="D898" s="3">
        <v>15.37</v>
      </c>
      <c r="E898" s="3">
        <v>0</v>
      </c>
      <c r="F898">
        <v>3</v>
      </c>
      <c r="G898">
        <v>3</v>
      </c>
      <c r="H898" s="4">
        <v>3</v>
      </c>
      <c r="I898" t="s">
        <v>33</v>
      </c>
      <c r="J898" t="s">
        <v>33</v>
      </c>
      <c r="L898">
        <f t="shared" ref="L898:L961" si="28">YEAR(A898)</f>
        <v>2020</v>
      </c>
      <c r="M898" t="str">
        <f t="shared" ref="M898:M961" si="29">IF(L898=2019,"Pre-COVID","COVID Period")</f>
        <v>COVID Period</v>
      </c>
    </row>
    <row r="899" spans="1:13" x14ac:dyDescent="0.25">
      <c r="A899" s="2">
        <v>43955</v>
      </c>
      <c r="B899" t="s">
        <v>32</v>
      </c>
      <c r="C899">
        <v>18</v>
      </c>
      <c r="D899" s="3">
        <v>6.56</v>
      </c>
      <c r="E899" s="3">
        <v>118.08</v>
      </c>
      <c r="F899">
        <v>23</v>
      </c>
      <c r="G899">
        <v>7</v>
      </c>
      <c r="H899" s="4">
        <v>1.7</v>
      </c>
      <c r="I899" t="s">
        <v>33</v>
      </c>
      <c r="J899" t="s">
        <v>33</v>
      </c>
      <c r="L899">
        <f t="shared" si="28"/>
        <v>2020</v>
      </c>
      <c r="M899" t="str">
        <f t="shared" si="29"/>
        <v>COVID Period</v>
      </c>
    </row>
    <row r="900" spans="1:13" x14ac:dyDescent="0.25">
      <c r="A900" s="2">
        <v>43955</v>
      </c>
      <c r="B900" t="s">
        <v>34</v>
      </c>
      <c r="C900">
        <v>19</v>
      </c>
      <c r="D900" s="3">
        <v>7.22</v>
      </c>
      <c r="E900" s="3">
        <v>137.18</v>
      </c>
      <c r="F900">
        <v>19</v>
      </c>
      <c r="G900">
        <v>1</v>
      </c>
      <c r="H900" s="4">
        <v>1.1000000000000001</v>
      </c>
      <c r="I900" t="s">
        <v>33</v>
      </c>
      <c r="J900" t="s">
        <v>33</v>
      </c>
      <c r="L900">
        <f t="shared" si="28"/>
        <v>2020</v>
      </c>
      <c r="M900" t="str">
        <f t="shared" si="29"/>
        <v>COVID Period</v>
      </c>
    </row>
    <row r="901" spans="1:13" x14ac:dyDescent="0.25">
      <c r="A901" s="2">
        <v>43955</v>
      </c>
      <c r="B901" t="s">
        <v>35</v>
      </c>
      <c r="C901">
        <v>9</v>
      </c>
      <c r="D901" s="3">
        <v>5.77</v>
      </c>
      <c r="E901" s="3">
        <v>51.93</v>
      </c>
      <c r="F901">
        <v>12</v>
      </c>
      <c r="G901">
        <v>4</v>
      </c>
      <c r="H901" s="4">
        <v>2.9</v>
      </c>
      <c r="I901" t="s">
        <v>33</v>
      </c>
      <c r="J901" t="s">
        <v>33</v>
      </c>
      <c r="L901">
        <f t="shared" si="28"/>
        <v>2020</v>
      </c>
      <c r="M901" t="str">
        <f t="shared" si="29"/>
        <v>COVID Period</v>
      </c>
    </row>
    <row r="902" spans="1:13" x14ac:dyDescent="0.25">
      <c r="A902" s="2">
        <v>43955</v>
      </c>
      <c r="B902" t="s">
        <v>36</v>
      </c>
      <c r="C902">
        <v>11</v>
      </c>
      <c r="D902" s="3">
        <v>6.2</v>
      </c>
      <c r="E902" s="3">
        <v>68.2</v>
      </c>
      <c r="F902">
        <v>16</v>
      </c>
      <c r="G902">
        <v>6</v>
      </c>
      <c r="H902" s="4">
        <v>1.7</v>
      </c>
      <c r="I902" t="s">
        <v>33</v>
      </c>
      <c r="J902" t="s">
        <v>33</v>
      </c>
      <c r="L902">
        <f t="shared" si="28"/>
        <v>2020</v>
      </c>
      <c r="M902" t="str">
        <f t="shared" si="29"/>
        <v>COVID Period</v>
      </c>
    </row>
    <row r="903" spans="1:13" x14ac:dyDescent="0.25">
      <c r="A903" s="2">
        <v>43955</v>
      </c>
      <c r="B903" t="s">
        <v>37</v>
      </c>
      <c r="C903">
        <v>19</v>
      </c>
      <c r="D903" s="3">
        <v>3.16</v>
      </c>
      <c r="E903" s="3">
        <v>60.04</v>
      </c>
      <c r="F903">
        <v>26</v>
      </c>
      <c r="G903">
        <v>9</v>
      </c>
      <c r="H903" s="4">
        <v>0</v>
      </c>
      <c r="I903" t="s">
        <v>33</v>
      </c>
      <c r="J903" t="s">
        <v>33</v>
      </c>
      <c r="L903">
        <f t="shared" si="28"/>
        <v>2020</v>
      </c>
      <c r="M903" t="str">
        <f t="shared" si="29"/>
        <v>COVID Period</v>
      </c>
    </row>
    <row r="904" spans="1:13" x14ac:dyDescent="0.25">
      <c r="A904" s="2">
        <v>43955</v>
      </c>
      <c r="B904" t="s">
        <v>38</v>
      </c>
      <c r="C904">
        <v>15</v>
      </c>
      <c r="D904" s="3">
        <v>8.77</v>
      </c>
      <c r="E904" s="3">
        <v>131.55000000000001</v>
      </c>
      <c r="F904">
        <v>20</v>
      </c>
      <c r="G904">
        <v>8</v>
      </c>
      <c r="H904" s="4">
        <v>3.2</v>
      </c>
      <c r="I904" t="s">
        <v>33</v>
      </c>
      <c r="J904" t="s">
        <v>33</v>
      </c>
      <c r="L904">
        <f t="shared" si="28"/>
        <v>2020</v>
      </c>
      <c r="M904" t="str">
        <f t="shared" si="29"/>
        <v>COVID Period</v>
      </c>
    </row>
    <row r="905" spans="1:13" x14ac:dyDescent="0.25">
      <c r="A905" s="2">
        <v>43955</v>
      </c>
      <c r="B905" t="s">
        <v>39</v>
      </c>
      <c r="C905">
        <v>23</v>
      </c>
      <c r="D905" s="3">
        <v>11.82</v>
      </c>
      <c r="E905" s="3">
        <v>271.86</v>
      </c>
      <c r="F905">
        <v>31</v>
      </c>
      <c r="G905">
        <v>11</v>
      </c>
      <c r="H905" s="4">
        <v>1.8</v>
      </c>
      <c r="I905" t="s">
        <v>33</v>
      </c>
      <c r="J905" t="s">
        <v>33</v>
      </c>
      <c r="L905">
        <f t="shared" si="28"/>
        <v>2020</v>
      </c>
      <c r="M905" t="str">
        <f t="shared" si="29"/>
        <v>COVID Period</v>
      </c>
    </row>
    <row r="906" spans="1:13" x14ac:dyDescent="0.25">
      <c r="A906" s="2">
        <v>43955</v>
      </c>
      <c r="B906" t="s">
        <v>40</v>
      </c>
      <c r="C906">
        <v>41</v>
      </c>
      <c r="D906" s="3">
        <v>0.65</v>
      </c>
      <c r="E906" s="3">
        <v>26.65</v>
      </c>
      <c r="F906">
        <v>66</v>
      </c>
      <c r="G906">
        <v>32</v>
      </c>
      <c r="H906" s="4">
        <v>4.5</v>
      </c>
      <c r="I906" t="s">
        <v>46</v>
      </c>
      <c r="J906" t="s">
        <v>33</v>
      </c>
      <c r="K906" t="s">
        <v>47</v>
      </c>
      <c r="L906">
        <f t="shared" si="28"/>
        <v>2020</v>
      </c>
      <c r="M906" t="str">
        <f t="shared" si="29"/>
        <v>COVID Period</v>
      </c>
    </row>
    <row r="907" spans="1:13" x14ac:dyDescent="0.25">
      <c r="A907" s="2">
        <v>43955</v>
      </c>
      <c r="B907" t="s">
        <v>41</v>
      </c>
      <c r="C907">
        <v>27</v>
      </c>
      <c r="D907" s="3">
        <v>1.33</v>
      </c>
      <c r="E907" s="3">
        <v>35.909999999999997</v>
      </c>
      <c r="F907">
        <v>37</v>
      </c>
      <c r="G907">
        <v>14</v>
      </c>
      <c r="H907" s="4">
        <v>3.8</v>
      </c>
      <c r="I907" t="s">
        <v>46</v>
      </c>
      <c r="J907" t="s">
        <v>33</v>
      </c>
      <c r="K907" t="s">
        <v>47</v>
      </c>
      <c r="L907">
        <f t="shared" si="28"/>
        <v>2020</v>
      </c>
      <c r="M907" t="str">
        <f t="shared" si="29"/>
        <v>COVID Period</v>
      </c>
    </row>
    <row r="908" spans="1:13" x14ac:dyDescent="0.25">
      <c r="A908" s="2">
        <v>43955</v>
      </c>
      <c r="B908" t="s">
        <v>42</v>
      </c>
      <c r="C908">
        <v>39</v>
      </c>
      <c r="D908" s="3">
        <v>4.1900000000000004</v>
      </c>
      <c r="E908" s="3">
        <v>163.41</v>
      </c>
      <c r="F908">
        <v>41</v>
      </c>
      <c r="G908">
        <v>3</v>
      </c>
      <c r="H908" s="4">
        <v>3.2</v>
      </c>
      <c r="I908" t="s">
        <v>46</v>
      </c>
      <c r="J908" t="s">
        <v>33</v>
      </c>
      <c r="K908" t="s">
        <v>47</v>
      </c>
      <c r="L908">
        <f t="shared" si="28"/>
        <v>2020</v>
      </c>
      <c r="M908" t="str">
        <f t="shared" si="29"/>
        <v>COVID Period</v>
      </c>
    </row>
    <row r="909" spans="1:13" x14ac:dyDescent="0.25">
      <c r="A909" s="2">
        <v>43955</v>
      </c>
      <c r="B909" t="s">
        <v>43</v>
      </c>
      <c r="C909">
        <v>20</v>
      </c>
      <c r="D909" s="3">
        <v>5.36</v>
      </c>
      <c r="E909" s="3">
        <v>107.2</v>
      </c>
      <c r="F909">
        <v>22</v>
      </c>
      <c r="G909">
        <v>5</v>
      </c>
      <c r="H909" s="4">
        <v>4.0999999999999996</v>
      </c>
      <c r="I909" t="s">
        <v>46</v>
      </c>
      <c r="J909" t="s">
        <v>33</v>
      </c>
      <c r="L909">
        <f t="shared" si="28"/>
        <v>2020</v>
      </c>
      <c r="M909" t="str">
        <f t="shared" si="29"/>
        <v>COVID Period</v>
      </c>
    </row>
    <row r="910" spans="1:13" x14ac:dyDescent="0.25">
      <c r="A910" s="2">
        <v>43955</v>
      </c>
      <c r="B910" t="s">
        <v>44</v>
      </c>
      <c r="C910">
        <v>1</v>
      </c>
      <c r="D910" s="3">
        <v>4.78</v>
      </c>
      <c r="E910" s="3">
        <v>4.78</v>
      </c>
      <c r="F910">
        <v>3</v>
      </c>
      <c r="G910">
        <v>2</v>
      </c>
      <c r="H910" s="4">
        <v>3.6</v>
      </c>
      <c r="I910" t="s">
        <v>46</v>
      </c>
      <c r="J910" t="s">
        <v>46</v>
      </c>
      <c r="K910" t="s">
        <v>47</v>
      </c>
      <c r="L910">
        <f t="shared" si="28"/>
        <v>2020</v>
      </c>
      <c r="M910" t="str">
        <f t="shared" si="29"/>
        <v>COVID Period</v>
      </c>
    </row>
    <row r="911" spans="1:13" x14ac:dyDescent="0.25">
      <c r="A911" s="2">
        <v>43955</v>
      </c>
      <c r="B911" t="s">
        <v>45</v>
      </c>
      <c r="C911">
        <v>1</v>
      </c>
      <c r="D911" s="3">
        <v>15.11</v>
      </c>
      <c r="E911" s="3">
        <v>15.11</v>
      </c>
      <c r="F911">
        <v>3</v>
      </c>
      <c r="G911">
        <v>3</v>
      </c>
      <c r="H911" s="4">
        <v>3</v>
      </c>
      <c r="I911" t="s">
        <v>46</v>
      </c>
      <c r="J911" t="s">
        <v>33</v>
      </c>
      <c r="L911">
        <f t="shared" si="28"/>
        <v>2020</v>
      </c>
      <c r="M911" t="str">
        <f t="shared" si="29"/>
        <v>COVID Period</v>
      </c>
    </row>
    <row r="912" spans="1:13" x14ac:dyDescent="0.25">
      <c r="A912" s="2">
        <v>43962</v>
      </c>
      <c r="B912" t="s">
        <v>32</v>
      </c>
      <c r="C912">
        <v>25</v>
      </c>
      <c r="D912" s="3">
        <v>6.58</v>
      </c>
      <c r="E912" s="3">
        <v>164.5</v>
      </c>
      <c r="F912">
        <v>40</v>
      </c>
      <c r="G912">
        <v>17</v>
      </c>
      <c r="H912" s="4">
        <v>1.3</v>
      </c>
      <c r="I912" t="s">
        <v>33</v>
      </c>
      <c r="J912" t="s">
        <v>33</v>
      </c>
      <c r="L912">
        <f t="shared" si="28"/>
        <v>2020</v>
      </c>
      <c r="M912" t="str">
        <f t="shared" si="29"/>
        <v>COVID Period</v>
      </c>
    </row>
    <row r="913" spans="1:13" x14ac:dyDescent="0.25">
      <c r="A913" s="2">
        <v>43962</v>
      </c>
      <c r="B913" t="s">
        <v>34</v>
      </c>
      <c r="C913">
        <v>18</v>
      </c>
      <c r="D913" s="3">
        <v>7.04</v>
      </c>
      <c r="E913" s="3">
        <v>126.72</v>
      </c>
      <c r="F913">
        <v>27</v>
      </c>
      <c r="G913">
        <v>13</v>
      </c>
      <c r="H913" s="4">
        <v>1.5</v>
      </c>
      <c r="I913" t="s">
        <v>33</v>
      </c>
      <c r="J913" t="s">
        <v>33</v>
      </c>
      <c r="L913">
        <f t="shared" si="28"/>
        <v>2020</v>
      </c>
      <c r="M913" t="str">
        <f t="shared" si="29"/>
        <v>COVID Period</v>
      </c>
    </row>
    <row r="914" spans="1:13" x14ac:dyDescent="0.25">
      <c r="A914" s="2">
        <v>43962</v>
      </c>
      <c r="B914" t="s">
        <v>35</v>
      </c>
      <c r="C914">
        <v>8</v>
      </c>
      <c r="D914" s="3">
        <v>6.14</v>
      </c>
      <c r="E914" s="3">
        <v>49.12</v>
      </c>
      <c r="F914">
        <v>12</v>
      </c>
      <c r="G914">
        <v>5</v>
      </c>
      <c r="H914" s="4">
        <v>0.3</v>
      </c>
      <c r="I914" t="s">
        <v>33</v>
      </c>
      <c r="J914" t="s">
        <v>33</v>
      </c>
      <c r="L914">
        <f t="shared" si="28"/>
        <v>2020</v>
      </c>
      <c r="M914" t="str">
        <f t="shared" si="29"/>
        <v>COVID Period</v>
      </c>
    </row>
    <row r="915" spans="1:13" x14ac:dyDescent="0.25">
      <c r="A915" s="2">
        <v>43962</v>
      </c>
      <c r="B915" t="s">
        <v>36</v>
      </c>
      <c r="C915">
        <v>11</v>
      </c>
      <c r="D915" s="3">
        <v>6.43</v>
      </c>
      <c r="E915" s="3">
        <v>70.73</v>
      </c>
      <c r="F915">
        <v>18</v>
      </c>
      <c r="G915">
        <v>8</v>
      </c>
      <c r="H915" s="4">
        <v>1.6</v>
      </c>
      <c r="I915" t="s">
        <v>33</v>
      </c>
      <c r="J915" t="s">
        <v>33</v>
      </c>
      <c r="L915">
        <f t="shared" si="28"/>
        <v>2020</v>
      </c>
      <c r="M915" t="str">
        <f t="shared" si="29"/>
        <v>COVID Period</v>
      </c>
    </row>
    <row r="916" spans="1:13" x14ac:dyDescent="0.25">
      <c r="A916" s="2">
        <v>43962</v>
      </c>
      <c r="B916" t="s">
        <v>37</v>
      </c>
      <c r="C916">
        <v>22</v>
      </c>
      <c r="D916" s="3">
        <v>3.35</v>
      </c>
      <c r="E916" s="3">
        <v>73.7</v>
      </c>
      <c r="F916">
        <v>23</v>
      </c>
      <c r="G916">
        <v>4</v>
      </c>
      <c r="H916" s="4">
        <v>2.2999999999999998</v>
      </c>
      <c r="I916" t="s">
        <v>33</v>
      </c>
      <c r="J916" t="s">
        <v>33</v>
      </c>
      <c r="L916">
        <f t="shared" si="28"/>
        <v>2020</v>
      </c>
      <c r="M916" t="str">
        <f t="shared" si="29"/>
        <v>COVID Period</v>
      </c>
    </row>
    <row r="917" spans="1:13" x14ac:dyDescent="0.25">
      <c r="A917" s="2">
        <v>43962</v>
      </c>
      <c r="B917" t="s">
        <v>38</v>
      </c>
      <c r="C917">
        <v>18</v>
      </c>
      <c r="D917" s="3">
        <v>8.41</v>
      </c>
      <c r="E917" s="3">
        <v>151.38</v>
      </c>
      <c r="F917">
        <v>19</v>
      </c>
      <c r="G917">
        <v>1</v>
      </c>
      <c r="H917" s="4">
        <v>1</v>
      </c>
      <c r="I917" t="s">
        <v>33</v>
      </c>
      <c r="J917" t="s">
        <v>33</v>
      </c>
      <c r="L917">
        <f t="shared" si="28"/>
        <v>2020</v>
      </c>
      <c r="M917" t="str">
        <f t="shared" si="29"/>
        <v>COVID Period</v>
      </c>
    </row>
    <row r="918" spans="1:13" x14ac:dyDescent="0.25">
      <c r="A918" s="2">
        <v>43962</v>
      </c>
      <c r="B918" t="s">
        <v>39</v>
      </c>
      <c r="C918">
        <v>32</v>
      </c>
      <c r="D918" s="3">
        <v>11.67</v>
      </c>
      <c r="E918" s="3">
        <v>373.44</v>
      </c>
      <c r="F918">
        <v>37</v>
      </c>
      <c r="G918">
        <v>10</v>
      </c>
      <c r="H918" s="4">
        <v>1.6</v>
      </c>
      <c r="I918" t="s">
        <v>33</v>
      </c>
      <c r="J918" t="s">
        <v>33</v>
      </c>
      <c r="L918">
        <f t="shared" si="28"/>
        <v>2020</v>
      </c>
      <c r="M918" t="str">
        <f t="shared" si="29"/>
        <v>COVID Period</v>
      </c>
    </row>
    <row r="919" spans="1:13" x14ac:dyDescent="0.25">
      <c r="A919" s="2">
        <v>43962</v>
      </c>
      <c r="B919" t="s">
        <v>40</v>
      </c>
      <c r="C919">
        <v>44</v>
      </c>
      <c r="D919" s="3">
        <v>0.63</v>
      </c>
      <c r="E919" s="3">
        <v>27.72</v>
      </c>
      <c r="F919">
        <v>58</v>
      </c>
      <c r="G919">
        <v>22</v>
      </c>
      <c r="H919" s="4">
        <v>3.8</v>
      </c>
      <c r="I919" t="s">
        <v>46</v>
      </c>
      <c r="J919" t="s">
        <v>33</v>
      </c>
      <c r="K919" t="s">
        <v>47</v>
      </c>
      <c r="L919">
        <f t="shared" si="28"/>
        <v>2020</v>
      </c>
      <c r="M919" t="str">
        <f t="shared" si="29"/>
        <v>COVID Period</v>
      </c>
    </row>
    <row r="920" spans="1:13" x14ac:dyDescent="0.25">
      <c r="A920" s="2">
        <v>43962</v>
      </c>
      <c r="B920" t="s">
        <v>41</v>
      </c>
      <c r="C920">
        <v>35</v>
      </c>
      <c r="D920" s="3">
        <v>1.35</v>
      </c>
      <c r="E920" s="3">
        <v>47.25</v>
      </c>
      <c r="F920">
        <v>42</v>
      </c>
      <c r="G920">
        <v>13</v>
      </c>
      <c r="H920" s="4">
        <v>1.9</v>
      </c>
      <c r="I920" t="s">
        <v>46</v>
      </c>
      <c r="J920" t="s">
        <v>33</v>
      </c>
      <c r="K920" t="s">
        <v>47</v>
      </c>
      <c r="L920">
        <f t="shared" si="28"/>
        <v>2020</v>
      </c>
      <c r="M920" t="str">
        <f t="shared" si="29"/>
        <v>COVID Period</v>
      </c>
    </row>
    <row r="921" spans="1:13" x14ac:dyDescent="0.25">
      <c r="A921" s="2">
        <v>43962</v>
      </c>
      <c r="B921" t="s">
        <v>42</v>
      </c>
      <c r="C921">
        <v>35</v>
      </c>
      <c r="D921" s="3">
        <v>4.2699999999999996</v>
      </c>
      <c r="E921" s="3">
        <v>149.44999999999999</v>
      </c>
      <c r="F921">
        <v>42</v>
      </c>
      <c r="G921">
        <v>10</v>
      </c>
      <c r="H921" s="4">
        <v>4.5</v>
      </c>
      <c r="I921" t="s">
        <v>46</v>
      </c>
      <c r="J921" t="s">
        <v>33</v>
      </c>
      <c r="K921" t="s">
        <v>47</v>
      </c>
      <c r="L921">
        <f t="shared" si="28"/>
        <v>2020</v>
      </c>
      <c r="M921" t="str">
        <f t="shared" si="29"/>
        <v>COVID Period</v>
      </c>
    </row>
    <row r="922" spans="1:13" x14ac:dyDescent="0.25">
      <c r="A922" s="2">
        <v>43962</v>
      </c>
      <c r="B922" t="s">
        <v>43</v>
      </c>
      <c r="C922">
        <v>20</v>
      </c>
      <c r="D922" s="3">
        <v>5.51</v>
      </c>
      <c r="E922" s="3">
        <v>110.2</v>
      </c>
      <c r="F922">
        <v>28</v>
      </c>
      <c r="G922">
        <v>12</v>
      </c>
      <c r="H922" s="4">
        <v>2.8</v>
      </c>
      <c r="I922" t="s">
        <v>46</v>
      </c>
      <c r="J922" t="s">
        <v>33</v>
      </c>
      <c r="L922">
        <f t="shared" si="28"/>
        <v>2020</v>
      </c>
      <c r="M922" t="str">
        <f t="shared" si="29"/>
        <v>COVID Period</v>
      </c>
    </row>
    <row r="923" spans="1:13" x14ac:dyDescent="0.25">
      <c r="A923" s="2">
        <v>43962</v>
      </c>
      <c r="B923" t="s">
        <v>44</v>
      </c>
      <c r="C923">
        <v>0</v>
      </c>
      <c r="D923" s="3">
        <v>4.92</v>
      </c>
      <c r="E923" s="3">
        <v>0</v>
      </c>
      <c r="F923">
        <v>3</v>
      </c>
      <c r="G923">
        <v>3</v>
      </c>
      <c r="H923" s="4">
        <v>3</v>
      </c>
      <c r="I923" t="s">
        <v>33</v>
      </c>
      <c r="J923" t="s">
        <v>33</v>
      </c>
      <c r="L923">
        <f t="shared" si="28"/>
        <v>2020</v>
      </c>
      <c r="M923" t="str">
        <f t="shared" si="29"/>
        <v>COVID Period</v>
      </c>
    </row>
    <row r="924" spans="1:13" x14ac:dyDescent="0.25">
      <c r="A924" s="2">
        <v>43962</v>
      </c>
      <c r="B924" t="s">
        <v>45</v>
      </c>
      <c r="C924">
        <v>1</v>
      </c>
      <c r="D924" s="3">
        <v>15.65</v>
      </c>
      <c r="E924" s="3">
        <v>15.65</v>
      </c>
      <c r="F924">
        <v>3</v>
      </c>
      <c r="G924">
        <v>2</v>
      </c>
      <c r="H924" s="4">
        <v>2.2000000000000002</v>
      </c>
      <c r="I924" t="s">
        <v>46</v>
      </c>
      <c r="J924" t="s">
        <v>33</v>
      </c>
      <c r="L924">
        <f t="shared" si="28"/>
        <v>2020</v>
      </c>
      <c r="M924" t="str">
        <f t="shared" si="29"/>
        <v>COVID Period</v>
      </c>
    </row>
    <row r="925" spans="1:13" x14ac:dyDescent="0.25">
      <c r="A925" s="2">
        <v>43969</v>
      </c>
      <c r="B925" t="s">
        <v>32</v>
      </c>
      <c r="C925">
        <v>21</v>
      </c>
      <c r="D925" s="3">
        <v>6.67</v>
      </c>
      <c r="E925" s="3">
        <v>140.07</v>
      </c>
      <c r="F925">
        <v>30</v>
      </c>
      <c r="G925">
        <v>12</v>
      </c>
      <c r="H925" s="4">
        <v>2.1</v>
      </c>
      <c r="I925" t="s">
        <v>33</v>
      </c>
      <c r="J925" t="s">
        <v>33</v>
      </c>
      <c r="L925">
        <f t="shared" si="28"/>
        <v>2020</v>
      </c>
      <c r="M925" t="str">
        <f t="shared" si="29"/>
        <v>COVID Period</v>
      </c>
    </row>
    <row r="926" spans="1:13" x14ac:dyDescent="0.25">
      <c r="A926" s="2">
        <v>43969</v>
      </c>
      <c r="B926" t="s">
        <v>34</v>
      </c>
      <c r="C926">
        <v>19</v>
      </c>
      <c r="D926" s="3">
        <v>7.14</v>
      </c>
      <c r="E926" s="3">
        <v>135.66</v>
      </c>
      <c r="F926">
        <v>24</v>
      </c>
      <c r="G926">
        <v>7</v>
      </c>
      <c r="H926" s="4">
        <v>0.3</v>
      </c>
      <c r="I926" t="s">
        <v>33</v>
      </c>
      <c r="J926" t="s">
        <v>33</v>
      </c>
      <c r="L926">
        <f t="shared" si="28"/>
        <v>2020</v>
      </c>
      <c r="M926" t="str">
        <f t="shared" si="29"/>
        <v>COVID Period</v>
      </c>
    </row>
    <row r="927" spans="1:13" x14ac:dyDescent="0.25">
      <c r="A927" s="2">
        <v>43969</v>
      </c>
      <c r="B927" t="s">
        <v>35</v>
      </c>
      <c r="C927">
        <v>10</v>
      </c>
      <c r="D927" s="3">
        <v>6.07</v>
      </c>
      <c r="E927" s="3">
        <v>60.7</v>
      </c>
      <c r="F927">
        <v>16</v>
      </c>
      <c r="G927">
        <v>8</v>
      </c>
      <c r="H927" s="4">
        <v>1.9</v>
      </c>
      <c r="I927" t="s">
        <v>33</v>
      </c>
      <c r="J927" t="s">
        <v>33</v>
      </c>
      <c r="L927">
        <f t="shared" si="28"/>
        <v>2020</v>
      </c>
      <c r="M927" t="str">
        <f t="shared" si="29"/>
        <v>COVID Period</v>
      </c>
    </row>
    <row r="928" spans="1:13" x14ac:dyDescent="0.25">
      <c r="A928" s="2">
        <v>43969</v>
      </c>
      <c r="B928" t="s">
        <v>36</v>
      </c>
      <c r="C928">
        <v>16</v>
      </c>
      <c r="D928" s="3">
        <v>6.43</v>
      </c>
      <c r="E928" s="3">
        <v>102.88</v>
      </c>
      <c r="F928">
        <v>24</v>
      </c>
      <c r="G928">
        <v>11</v>
      </c>
      <c r="H928" s="4">
        <v>1.3</v>
      </c>
      <c r="I928" t="s">
        <v>33</v>
      </c>
      <c r="J928" t="s">
        <v>33</v>
      </c>
      <c r="L928">
        <f t="shared" si="28"/>
        <v>2020</v>
      </c>
      <c r="M928" t="str">
        <f t="shared" si="29"/>
        <v>COVID Period</v>
      </c>
    </row>
    <row r="929" spans="1:13" x14ac:dyDescent="0.25">
      <c r="A929" s="2">
        <v>43969</v>
      </c>
      <c r="B929" t="s">
        <v>37</v>
      </c>
      <c r="C929">
        <v>30</v>
      </c>
      <c r="D929" s="3">
        <v>3.14</v>
      </c>
      <c r="E929" s="3">
        <v>94.2</v>
      </c>
      <c r="F929">
        <v>36</v>
      </c>
      <c r="G929">
        <v>8</v>
      </c>
      <c r="H929" s="4">
        <v>2.2000000000000002</v>
      </c>
      <c r="I929" t="s">
        <v>33</v>
      </c>
      <c r="J929" t="s">
        <v>33</v>
      </c>
      <c r="L929">
        <f t="shared" si="28"/>
        <v>2020</v>
      </c>
      <c r="M929" t="str">
        <f t="shared" si="29"/>
        <v>COVID Period</v>
      </c>
    </row>
    <row r="930" spans="1:13" x14ac:dyDescent="0.25">
      <c r="A930" s="2">
        <v>43969</v>
      </c>
      <c r="B930" t="s">
        <v>38</v>
      </c>
      <c r="C930">
        <v>15</v>
      </c>
      <c r="D930" s="3">
        <v>8.57</v>
      </c>
      <c r="E930" s="3">
        <v>128.55000000000001</v>
      </c>
      <c r="F930">
        <v>18</v>
      </c>
      <c r="G930">
        <v>6</v>
      </c>
      <c r="H930" s="4">
        <v>1.3</v>
      </c>
      <c r="I930" t="s">
        <v>33</v>
      </c>
      <c r="J930" t="s">
        <v>33</v>
      </c>
      <c r="L930">
        <f t="shared" si="28"/>
        <v>2020</v>
      </c>
      <c r="M930" t="str">
        <f t="shared" si="29"/>
        <v>COVID Period</v>
      </c>
    </row>
    <row r="931" spans="1:13" x14ac:dyDescent="0.25">
      <c r="A931" s="2">
        <v>43969</v>
      </c>
      <c r="B931" t="s">
        <v>39</v>
      </c>
      <c r="C931">
        <v>25</v>
      </c>
      <c r="D931" s="3">
        <v>11.56</v>
      </c>
      <c r="E931" s="3">
        <v>289</v>
      </c>
      <c r="F931">
        <v>35</v>
      </c>
      <c r="G931">
        <v>12</v>
      </c>
      <c r="H931" s="4">
        <v>2</v>
      </c>
      <c r="I931" t="s">
        <v>33</v>
      </c>
      <c r="J931" t="s">
        <v>33</v>
      </c>
      <c r="L931">
        <f t="shared" si="28"/>
        <v>2020</v>
      </c>
      <c r="M931" t="str">
        <f t="shared" si="29"/>
        <v>COVID Period</v>
      </c>
    </row>
    <row r="932" spans="1:13" x14ac:dyDescent="0.25">
      <c r="A932" s="2">
        <v>43969</v>
      </c>
      <c r="B932" t="s">
        <v>40</v>
      </c>
      <c r="C932">
        <v>54</v>
      </c>
      <c r="D932" s="3">
        <v>0.64</v>
      </c>
      <c r="E932" s="3">
        <v>34.56</v>
      </c>
      <c r="F932">
        <v>86</v>
      </c>
      <c r="G932">
        <v>33</v>
      </c>
      <c r="H932" s="4">
        <v>4.5999999999999996</v>
      </c>
      <c r="I932" t="s">
        <v>46</v>
      </c>
      <c r="J932" t="s">
        <v>33</v>
      </c>
      <c r="K932" t="s">
        <v>47</v>
      </c>
      <c r="L932">
        <f t="shared" si="28"/>
        <v>2020</v>
      </c>
      <c r="M932" t="str">
        <f t="shared" si="29"/>
        <v>COVID Period</v>
      </c>
    </row>
    <row r="933" spans="1:13" x14ac:dyDescent="0.25">
      <c r="A933" s="2">
        <v>43969</v>
      </c>
      <c r="B933" t="s">
        <v>41</v>
      </c>
      <c r="C933">
        <v>37</v>
      </c>
      <c r="D933" s="3">
        <v>1.34</v>
      </c>
      <c r="E933" s="3">
        <v>49.58</v>
      </c>
      <c r="F933">
        <v>58</v>
      </c>
      <c r="G933">
        <v>21</v>
      </c>
      <c r="H933" s="4">
        <v>5.2</v>
      </c>
      <c r="I933" t="s">
        <v>46</v>
      </c>
      <c r="J933" t="s">
        <v>33</v>
      </c>
      <c r="K933" t="s">
        <v>47</v>
      </c>
      <c r="L933">
        <f t="shared" si="28"/>
        <v>2020</v>
      </c>
      <c r="M933" t="str">
        <f t="shared" si="29"/>
        <v>COVID Period</v>
      </c>
    </row>
    <row r="934" spans="1:13" x14ac:dyDescent="0.25">
      <c r="A934" s="2">
        <v>43969</v>
      </c>
      <c r="B934" t="s">
        <v>42</v>
      </c>
      <c r="C934">
        <v>44</v>
      </c>
      <c r="D934" s="3">
        <v>4.0999999999999996</v>
      </c>
      <c r="E934" s="3">
        <v>180.4</v>
      </c>
      <c r="F934">
        <v>62</v>
      </c>
      <c r="G934">
        <v>24</v>
      </c>
      <c r="H934" s="4">
        <v>3.1</v>
      </c>
      <c r="I934" t="s">
        <v>46</v>
      </c>
      <c r="J934" t="s">
        <v>33</v>
      </c>
      <c r="K934" t="s">
        <v>47</v>
      </c>
      <c r="L934">
        <f t="shared" si="28"/>
        <v>2020</v>
      </c>
      <c r="M934" t="str">
        <f t="shared" si="29"/>
        <v>COVID Period</v>
      </c>
    </row>
    <row r="935" spans="1:13" x14ac:dyDescent="0.25">
      <c r="A935" s="2">
        <v>43969</v>
      </c>
      <c r="B935" t="s">
        <v>43</v>
      </c>
      <c r="C935">
        <v>21</v>
      </c>
      <c r="D935" s="3">
        <v>5.33</v>
      </c>
      <c r="E935" s="3">
        <v>111.93</v>
      </c>
      <c r="F935">
        <v>22</v>
      </c>
      <c r="G935">
        <v>2</v>
      </c>
      <c r="H935" s="4">
        <v>4.4000000000000004</v>
      </c>
      <c r="I935" t="s">
        <v>46</v>
      </c>
      <c r="J935" t="s">
        <v>33</v>
      </c>
      <c r="L935">
        <f t="shared" si="28"/>
        <v>2020</v>
      </c>
      <c r="M935" t="str">
        <f t="shared" si="29"/>
        <v>COVID Period</v>
      </c>
    </row>
    <row r="936" spans="1:13" x14ac:dyDescent="0.25">
      <c r="A936" s="2">
        <v>43969</v>
      </c>
      <c r="B936" t="s">
        <v>44</v>
      </c>
      <c r="C936">
        <v>0</v>
      </c>
      <c r="D936" s="3">
        <v>4.72</v>
      </c>
      <c r="E936" s="3">
        <v>0</v>
      </c>
      <c r="F936">
        <v>3</v>
      </c>
      <c r="G936">
        <v>3</v>
      </c>
      <c r="H936" s="4">
        <v>1.9</v>
      </c>
      <c r="I936" t="s">
        <v>33</v>
      </c>
      <c r="J936" t="s">
        <v>33</v>
      </c>
      <c r="L936">
        <f t="shared" si="28"/>
        <v>2020</v>
      </c>
      <c r="M936" t="str">
        <f t="shared" si="29"/>
        <v>COVID Period</v>
      </c>
    </row>
    <row r="937" spans="1:13" x14ac:dyDescent="0.25">
      <c r="A937" s="2">
        <v>43969</v>
      </c>
      <c r="B937" t="s">
        <v>45</v>
      </c>
      <c r="C937">
        <v>1</v>
      </c>
      <c r="D937" s="3">
        <v>14.71</v>
      </c>
      <c r="E937" s="3">
        <v>14.71</v>
      </c>
      <c r="F937">
        <v>3</v>
      </c>
      <c r="G937">
        <v>2</v>
      </c>
      <c r="H937" s="4">
        <v>2.2999999999999998</v>
      </c>
      <c r="I937" t="s">
        <v>46</v>
      </c>
      <c r="J937" t="s">
        <v>33</v>
      </c>
      <c r="L937">
        <f t="shared" si="28"/>
        <v>2020</v>
      </c>
      <c r="M937" t="str">
        <f t="shared" si="29"/>
        <v>COVID Period</v>
      </c>
    </row>
    <row r="938" spans="1:13" x14ac:dyDescent="0.25">
      <c r="A938" s="2">
        <v>43976</v>
      </c>
      <c r="B938" t="s">
        <v>32</v>
      </c>
      <c r="C938">
        <v>11</v>
      </c>
      <c r="D938" s="3">
        <v>6.89</v>
      </c>
      <c r="E938" s="3">
        <v>75.790000000000006</v>
      </c>
      <c r="F938">
        <v>14</v>
      </c>
      <c r="G938">
        <v>5</v>
      </c>
      <c r="H938" s="4">
        <v>1.7</v>
      </c>
      <c r="I938" t="s">
        <v>33</v>
      </c>
      <c r="J938" t="s">
        <v>33</v>
      </c>
      <c r="L938">
        <f t="shared" si="28"/>
        <v>2020</v>
      </c>
      <c r="M938" t="str">
        <f t="shared" si="29"/>
        <v>COVID Period</v>
      </c>
    </row>
    <row r="939" spans="1:13" x14ac:dyDescent="0.25">
      <c r="A939" s="2">
        <v>43976</v>
      </c>
      <c r="B939" t="s">
        <v>34</v>
      </c>
      <c r="C939">
        <v>18</v>
      </c>
      <c r="D939" s="3">
        <v>7.04</v>
      </c>
      <c r="E939" s="3">
        <v>126.72</v>
      </c>
      <c r="F939">
        <v>22</v>
      </c>
      <c r="G939">
        <v>8</v>
      </c>
      <c r="H939" s="4">
        <v>0.5</v>
      </c>
      <c r="I939" t="s">
        <v>33</v>
      </c>
      <c r="J939" t="s">
        <v>33</v>
      </c>
      <c r="L939">
        <f t="shared" si="28"/>
        <v>2020</v>
      </c>
      <c r="M939" t="str">
        <f t="shared" si="29"/>
        <v>COVID Period</v>
      </c>
    </row>
    <row r="940" spans="1:13" x14ac:dyDescent="0.25">
      <c r="A940" s="2">
        <v>43976</v>
      </c>
      <c r="B940" t="s">
        <v>35</v>
      </c>
      <c r="C940">
        <v>12</v>
      </c>
      <c r="D940" s="3">
        <v>6.05</v>
      </c>
      <c r="E940" s="3">
        <v>72.599999999999994</v>
      </c>
      <c r="F940">
        <v>18</v>
      </c>
      <c r="G940">
        <v>9</v>
      </c>
      <c r="H940" s="4">
        <v>1.7</v>
      </c>
      <c r="I940" t="s">
        <v>33</v>
      </c>
      <c r="J940" t="s">
        <v>33</v>
      </c>
      <c r="L940">
        <f t="shared" si="28"/>
        <v>2020</v>
      </c>
      <c r="M940" t="str">
        <f t="shared" si="29"/>
        <v>COVID Period</v>
      </c>
    </row>
    <row r="941" spans="1:13" x14ac:dyDescent="0.25">
      <c r="A941" s="2">
        <v>43976</v>
      </c>
      <c r="B941" t="s">
        <v>36</v>
      </c>
      <c r="C941">
        <v>11</v>
      </c>
      <c r="D941" s="3">
        <v>6.18</v>
      </c>
      <c r="E941" s="3">
        <v>67.98</v>
      </c>
      <c r="F941">
        <v>14</v>
      </c>
      <c r="G941">
        <v>4</v>
      </c>
      <c r="H941" s="4">
        <v>2</v>
      </c>
      <c r="I941" t="s">
        <v>33</v>
      </c>
      <c r="J941" t="s">
        <v>33</v>
      </c>
      <c r="L941">
        <f t="shared" si="28"/>
        <v>2020</v>
      </c>
      <c r="M941" t="str">
        <f t="shared" si="29"/>
        <v>COVID Period</v>
      </c>
    </row>
    <row r="942" spans="1:13" x14ac:dyDescent="0.25">
      <c r="A942" s="2">
        <v>43976</v>
      </c>
      <c r="B942" t="s">
        <v>37</v>
      </c>
      <c r="C942">
        <v>20</v>
      </c>
      <c r="D942" s="3">
        <v>3.29</v>
      </c>
      <c r="E942" s="3">
        <v>65.8</v>
      </c>
      <c r="F942">
        <v>26</v>
      </c>
      <c r="G942">
        <v>8</v>
      </c>
      <c r="H942" s="4">
        <v>1.3</v>
      </c>
      <c r="I942" t="s">
        <v>33</v>
      </c>
      <c r="J942" t="s">
        <v>33</v>
      </c>
      <c r="L942">
        <f t="shared" si="28"/>
        <v>2020</v>
      </c>
      <c r="M942" t="str">
        <f t="shared" si="29"/>
        <v>COVID Period</v>
      </c>
    </row>
    <row r="943" spans="1:13" x14ac:dyDescent="0.25">
      <c r="A943" s="2">
        <v>43976</v>
      </c>
      <c r="B943" t="s">
        <v>38</v>
      </c>
      <c r="C943">
        <v>11</v>
      </c>
      <c r="D943" s="3">
        <v>8.3800000000000008</v>
      </c>
      <c r="E943" s="3">
        <v>92.18</v>
      </c>
      <c r="F943">
        <v>14</v>
      </c>
      <c r="G943">
        <v>5</v>
      </c>
      <c r="H943" s="4">
        <v>1.6</v>
      </c>
      <c r="I943" t="s">
        <v>33</v>
      </c>
      <c r="J943" t="s">
        <v>33</v>
      </c>
      <c r="L943">
        <f t="shared" si="28"/>
        <v>2020</v>
      </c>
      <c r="M943" t="str">
        <f t="shared" si="29"/>
        <v>COVID Period</v>
      </c>
    </row>
    <row r="944" spans="1:13" x14ac:dyDescent="0.25">
      <c r="A944" s="2">
        <v>43976</v>
      </c>
      <c r="B944" t="s">
        <v>39</v>
      </c>
      <c r="C944">
        <v>22</v>
      </c>
      <c r="D944" s="3">
        <v>11.5</v>
      </c>
      <c r="E944" s="3">
        <v>253</v>
      </c>
      <c r="F944">
        <v>31</v>
      </c>
      <c r="G944">
        <v>11</v>
      </c>
      <c r="H944" s="4">
        <v>1.8</v>
      </c>
      <c r="I944" t="s">
        <v>33</v>
      </c>
      <c r="J944" t="s">
        <v>33</v>
      </c>
      <c r="L944">
        <f t="shared" si="28"/>
        <v>2020</v>
      </c>
      <c r="M944" t="str">
        <f t="shared" si="29"/>
        <v>COVID Period</v>
      </c>
    </row>
    <row r="945" spans="1:13" x14ac:dyDescent="0.25">
      <c r="A945" s="2">
        <v>43976</v>
      </c>
      <c r="B945" t="s">
        <v>40</v>
      </c>
      <c r="C945">
        <v>36</v>
      </c>
      <c r="D945" s="3">
        <v>0.67</v>
      </c>
      <c r="E945" s="3">
        <v>24.12</v>
      </c>
      <c r="F945">
        <v>50</v>
      </c>
      <c r="G945">
        <v>14</v>
      </c>
      <c r="H945" s="4">
        <v>4.2</v>
      </c>
      <c r="I945" t="s">
        <v>46</v>
      </c>
      <c r="J945" t="s">
        <v>33</v>
      </c>
      <c r="K945" t="s">
        <v>47</v>
      </c>
      <c r="L945">
        <f t="shared" si="28"/>
        <v>2020</v>
      </c>
      <c r="M945" t="str">
        <f t="shared" si="29"/>
        <v>COVID Period</v>
      </c>
    </row>
    <row r="946" spans="1:13" x14ac:dyDescent="0.25">
      <c r="A946" s="2">
        <v>43976</v>
      </c>
      <c r="B946" t="s">
        <v>41</v>
      </c>
      <c r="C946">
        <v>17</v>
      </c>
      <c r="D946" s="3">
        <v>1.32</v>
      </c>
      <c r="E946" s="3">
        <v>22.44</v>
      </c>
      <c r="F946">
        <v>23</v>
      </c>
      <c r="G946">
        <v>8</v>
      </c>
      <c r="H946" s="4">
        <v>4.3</v>
      </c>
      <c r="I946" t="s">
        <v>46</v>
      </c>
      <c r="J946" t="s">
        <v>33</v>
      </c>
      <c r="K946" t="s">
        <v>47</v>
      </c>
      <c r="L946">
        <f t="shared" si="28"/>
        <v>2020</v>
      </c>
      <c r="M946" t="str">
        <f t="shared" si="29"/>
        <v>COVID Period</v>
      </c>
    </row>
    <row r="947" spans="1:13" x14ac:dyDescent="0.25">
      <c r="A947" s="2">
        <v>43976</v>
      </c>
      <c r="B947" t="s">
        <v>42</v>
      </c>
      <c r="C947">
        <v>36</v>
      </c>
      <c r="D947" s="3">
        <v>4.1100000000000003</v>
      </c>
      <c r="E947" s="3">
        <v>147.96</v>
      </c>
      <c r="F947">
        <v>51</v>
      </c>
      <c r="G947">
        <v>21</v>
      </c>
      <c r="H947" s="4">
        <v>5.0999999999999996</v>
      </c>
      <c r="I947" t="s">
        <v>46</v>
      </c>
      <c r="J947" t="s">
        <v>33</v>
      </c>
      <c r="K947" t="s">
        <v>47</v>
      </c>
      <c r="L947">
        <f t="shared" si="28"/>
        <v>2020</v>
      </c>
      <c r="M947" t="str">
        <f t="shared" si="29"/>
        <v>COVID Period</v>
      </c>
    </row>
    <row r="948" spans="1:13" x14ac:dyDescent="0.25">
      <c r="A948" s="2">
        <v>43976</v>
      </c>
      <c r="B948" t="s">
        <v>43</v>
      </c>
      <c r="C948">
        <v>15</v>
      </c>
      <c r="D948" s="3">
        <v>5.63</v>
      </c>
      <c r="E948" s="3">
        <v>84.45</v>
      </c>
      <c r="F948">
        <v>21</v>
      </c>
      <c r="G948">
        <v>9</v>
      </c>
      <c r="H948" s="4">
        <v>6.1</v>
      </c>
      <c r="I948" t="s">
        <v>46</v>
      </c>
      <c r="J948" t="s">
        <v>33</v>
      </c>
      <c r="L948">
        <f t="shared" si="28"/>
        <v>2020</v>
      </c>
      <c r="M948" t="str">
        <f t="shared" si="29"/>
        <v>COVID Period</v>
      </c>
    </row>
    <row r="949" spans="1:13" x14ac:dyDescent="0.25">
      <c r="A949" s="2">
        <v>43976</v>
      </c>
      <c r="B949" t="s">
        <v>44</v>
      </c>
      <c r="C949">
        <v>0</v>
      </c>
      <c r="D949" s="3">
        <v>4.68</v>
      </c>
      <c r="E949" s="3">
        <v>0</v>
      </c>
      <c r="F949">
        <v>3</v>
      </c>
      <c r="G949">
        <v>3</v>
      </c>
      <c r="H949" s="4">
        <v>2.5</v>
      </c>
      <c r="I949" t="s">
        <v>33</v>
      </c>
      <c r="J949" t="s">
        <v>33</v>
      </c>
      <c r="L949">
        <f t="shared" si="28"/>
        <v>2020</v>
      </c>
      <c r="M949" t="str">
        <f t="shared" si="29"/>
        <v>COVID Period</v>
      </c>
    </row>
    <row r="950" spans="1:13" x14ac:dyDescent="0.25">
      <c r="A950" s="2">
        <v>43976</v>
      </c>
      <c r="B950" t="s">
        <v>45</v>
      </c>
      <c r="C950">
        <v>0</v>
      </c>
      <c r="D950" s="3">
        <v>15.37</v>
      </c>
      <c r="E950" s="3">
        <v>0</v>
      </c>
      <c r="F950">
        <v>3</v>
      </c>
      <c r="G950">
        <v>3</v>
      </c>
      <c r="H950" s="4">
        <v>3.2</v>
      </c>
      <c r="I950" t="s">
        <v>33</v>
      </c>
      <c r="J950" t="s">
        <v>33</v>
      </c>
      <c r="L950">
        <f t="shared" si="28"/>
        <v>2020</v>
      </c>
      <c r="M950" t="str">
        <f t="shared" si="29"/>
        <v>COVID Period</v>
      </c>
    </row>
    <row r="951" spans="1:13" x14ac:dyDescent="0.25">
      <c r="A951" s="2">
        <v>43983</v>
      </c>
      <c r="B951" t="s">
        <v>32</v>
      </c>
      <c r="C951">
        <v>17</v>
      </c>
      <c r="D951" s="3">
        <v>6.75</v>
      </c>
      <c r="E951" s="3">
        <v>114.75</v>
      </c>
      <c r="F951">
        <v>25</v>
      </c>
      <c r="G951">
        <v>10</v>
      </c>
      <c r="H951" s="4">
        <v>1.3</v>
      </c>
      <c r="I951" t="s">
        <v>33</v>
      </c>
      <c r="J951" t="s">
        <v>33</v>
      </c>
      <c r="L951">
        <f t="shared" si="28"/>
        <v>2020</v>
      </c>
      <c r="M951" t="str">
        <f t="shared" si="29"/>
        <v>COVID Period</v>
      </c>
    </row>
    <row r="952" spans="1:13" x14ac:dyDescent="0.25">
      <c r="A952" s="2">
        <v>43983</v>
      </c>
      <c r="B952" t="s">
        <v>34</v>
      </c>
      <c r="C952">
        <v>19</v>
      </c>
      <c r="D952" s="3">
        <v>6.93</v>
      </c>
      <c r="E952" s="3">
        <v>131.66999999999999</v>
      </c>
      <c r="F952">
        <v>26</v>
      </c>
      <c r="G952">
        <v>11</v>
      </c>
      <c r="H952" s="4">
        <v>2.7</v>
      </c>
      <c r="I952" t="s">
        <v>33</v>
      </c>
      <c r="J952" t="s">
        <v>33</v>
      </c>
      <c r="L952">
        <f t="shared" si="28"/>
        <v>2020</v>
      </c>
      <c r="M952" t="str">
        <f t="shared" si="29"/>
        <v>COVID Period</v>
      </c>
    </row>
    <row r="953" spans="1:13" x14ac:dyDescent="0.25">
      <c r="A953" s="2">
        <v>43983</v>
      </c>
      <c r="B953" t="s">
        <v>35</v>
      </c>
      <c r="C953">
        <v>9</v>
      </c>
      <c r="D953" s="3">
        <v>5.84</v>
      </c>
      <c r="E953" s="3">
        <v>52.56</v>
      </c>
      <c r="F953">
        <v>13</v>
      </c>
      <c r="G953">
        <v>5</v>
      </c>
      <c r="H953" s="4">
        <v>1.6</v>
      </c>
      <c r="I953" t="s">
        <v>33</v>
      </c>
      <c r="J953" t="s">
        <v>33</v>
      </c>
      <c r="L953">
        <f t="shared" si="28"/>
        <v>2020</v>
      </c>
      <c r="M953" t="str">
        <f t="shared" si="29"/>
        <v>COVID Period</v>
      </c>
    </row>
    <row r="954" spans="1:13" x14ac:dyDescent="0.25">
      <c r="A954" s="2">
        <v>43983</v>
      </c>
      <c r="B954" t="s">
        <v>36</v>
      </c>
      <c r="C954">
        <v>11</v>
      </c>
      <c r="D954" s="3">
        <v>6.24</v>
      </c>
      <c r="E954" s="3">
        <v>68.64</v>
      </c>
      <c r="F954">
        <v>17</v>
      </c>
      <c r="G954">
        <v>8</v>
      </c>
      <c r="H954" s="4">
        <v>1.5</v>
      </c>
      <c r="I954" t="s">
        <v>33</v>
      </c>
      <c r="J954" t="s">
        <v>33</v>
      </c>
      <c r="L954">
        <f t="shared" si="28"/>
        <v>2020</v>
      </c>
      <c r="M954" t="str">
        <f t="shared" si="29"/>
        <v>COVID Period</v>
      </c>
    </row>
    <row r="955" spans="1:13" x14ac:dyDescent="0.25">
      <c r="A955" s="2">
        <v>43983</v>
      </c>
      <c r="B955" t="s">
        <v>37</v>
      </c>
      <c r="C955">
        <v>28</v>
      </c>
      <c r="D955" s="3">
        <v>3.11</v>
      </c>
      <c r="E955" s="3">
        <v>87.08</v>
      </c>
      <c r="F955">
        <v>34</v>
      </c>
      <c r="G955">
        <v>9</v>
      </c>
      <c r="H955" s="4">
        <v>0.1</v>
      </c>
      <c r="I955" t="s">
        <v>33</v>
      </c>
      <c r="J955" t="s">
        <v>33</v>
      </c>
      <c r="L955">
        <f t="shared" si="28"/>
        <v>2020</v>
      </c>
      <c r="M955" t="str">
        <f t="shared" si="29"/>
        <v>COVID Period</v>
      </c>
    </row>
    <row r="956" spans="1:13" x14ac:dyDescent="0.25">
      <c r="A956" s="2">
        <v>43983</v>
      </c>
      <c r="B956" t="s">
        <v>38</v>
      </c>
      <c r="C956">
        <v>9</v>
      </c>
      <c r="D956" s="3">
        <v>8.91</v>
      </c>
      <c r="E956" s="3">
        <v>80.19</v>
      </c>
      <c r="F956">
        <v>11</v>
      </c>
      <c r="G956">
        <v>3</v>
      </c>
      <c r="H956" s="4">
        <v>1.9</v>
      </c>
      <c r="I956" t="s">
        <v>33</v>
      </c>
      <c r="J956" t="s">
        <v>33</v>
      </c>
      <c r="L956">
        <f t="shared" si="28"/>
        <v>2020</v>
      </c>
      <c r="M956" t="str">
        <f t="shared" si="29"/>
        <v>COVID Period</v>
      </c>
    </row>
    <row r="957" spans="1:13" x14ac:dyDescent="0.25">
      <c r="A957" s="2">
        <v>43983</v>
      </c>
      <c r="B957" t="s">
        <v>39</v>
      </c>
      <c r="C957">
        <v>33</v>
      </c>
      <c r="D957" s="3">
        <v>11.05</v>
      </c>
      <c r="E957" s="3">
        <v>364.65</v>
      </c>
      <c r="F957">
        <v>46</v>
      </c>
      <c r="G957">
        <v>18</v>
      </c>
      <c r="H957" s="4">
        <v>2.2999999999999998</v>
      </c>
      <c r="I957" t="s">
        <v>33</v>
      </c>
      <c r="J957" t="s">
        <v>33</v>
      </c>
      <c r="L957">
        <f t="shared" si="28"/>
        <v>2020</v>
      </c>
      <c r="M957" t="str">
        <f t="shared" si="29"/>
        <v>COVID Period</v>
      </c>
    </row>
    <row r="958" spans="1:13" x14ac:dyDescent="0.25">
      <c r="A958" s="2">
        <v>43983</v>
      </c>
      <c r="B958" t="s">
        <v>40</v>
      </c>
      <c r="C958">
        <v>34</v>
      </c>
      <c r="D958" s="3">
        <v>0.68</v>
      </c>
      <c r="E958" s="3">
        <v>23.12</v>
      </c>
      <c r="F958">
        <v>44</v>
      </c>
      <c r="G958">
        <v>11</v>
      </c>
      <c r="H958" s="4">
        <v>4</v>
      </c>
      <c r="I958" t="s">
        <v>46</v>
      </c>
      <c r="J958" t="s">
        <v>33</v>
      </c>
      <c r="K958" t="s">
        <v>47</v>
      </c>
      <c r="L958">
        <f t="shared" si="28"/>
        <v>2020</v>
      </c>
      <c r="M958" t="str">
        <f t="shared" si="29"/>
        <v>COVID Period</v>
      </c>
    </row>
    <row r="959" spans="1:13" x14ac:dyDescent="0.25">
      <c r="A959" s="2">
        <v>43983</v>
      </c>
      <c r="B959" t="s">
        <v>41</v>
      </c>
      <c r="C959">
        <v>21</v>
      </c>
      <c r="D959" s="3">
        <v>1.32</v>
      </c>
      <c r="E959" s="3">
        <v>27.72</v>
      </c>
      <c r="F959">
        <v>34</v>
      </c>
      <c r="G959">
        <v>14</v>
      </c>
      <c r="H959" s="4">
        <v>4.5</v>
      </c>
      <c r="I959" t="s">
        <v>46</v>
      </c>
      <c r="J959" t="s">
        <v>33</v>
      </c>
      <c r="K959" t="s">
        <v>47</v>
      </c>
      <c r="L959">
        <f t="shared" si="28"/>
        <v>2020</v>
      </c>
      <c r="M959" t="str">
        <f t="shared" si="29"/>
        <v>COVID Period</v>
      </c>
    </row>
    <row r="960" spans="1:13" x14ac:dyDescent="0.25">
      <c r="A960" s="2">
        <v>43983</v>
      </c>
      <c r="B960" t="s">
        <v>42</v>
      </c>
      <c r="C960">
        <v>32</v>
      </c>
      <c r="D960" s="3">
        <v>4.26</v>
      </c>
      <c r="E960" s="3">
        <v>136.32</v>
      </c>
      <c r="F960">
        <v>40</v>
      </c>
      <c r="G960">
        <v>9</v>
      </c>
      <c r="H960" s="4">
        <v>2.4</v>
      </c>
      <c r="I960" t="s">
        <v>46</v>
      </c>
      <c r="J960" t="s">
        <v>33</v>
      </c>
      <c r="K960" t="s">
        <v>47</v>
      </c>
      <c r="L960">
        <f t="shared" si="28"/>
        <v>2020</v>
      </c>
      <c r="M960" t="str">
        <f t="shared" si="29"/>
        <v>COVID Period</v>
      </c>
    </row>
    <row r="961" spans="1:13" x14ac:dyDescent="0.25">
      <c r="A961" s="2">
        <v>43983</v>
      </c>
      <c r="B961" t="s">
        <v>43</v>
      </c>
      <c r="C961">
        <v>20</v>
      </c>
      <c r="D961" s="3">
        <v>5.35</v>
      </c>
      <c r="E961" s="3">
        <v>107</v>
      </c>
      <c r="F961">
        <v>26</v>
      </c>
      <c r="G961">
        <v>8</v>
      </c>
      <c r="H961" s="4">
        <v>2.7</v>
      </c>
      <c r="I961" t="s">
        <v>46</v>
      </c>
      <c r="J961" t="s">
        <v>33</v>
      </c>
      <c r="L961">
        <f t="shared" si="28"/>
        <v>2020</v>
      </c>
      <c r="M961" t="str">
        <f t="shared" si="29"/>
        <v>COVID Period</v>
      </c>
    </row>
    <row r="962" spans="1:13" x14ac:dyDescent="0.25">
      <c r="A962" s="2">
        <v>43983</v>
      </c>
      <c r="B962" t="s">
        <v>44</v>
      </c>
      <c r="C962">
        <v>0</v>
      </c>
      <c r="D962" s="3">
        <v>4.92</v>
      </c>
      <c r="E962" s="3">
        <v>0</v>
      </c>
      <c r="F962">
        <v>3</v>
      </c>
      <c r="G962">
        <v>3</v>
      </c>
      <c r="H962" s="4">
        <v>2.2000000000000002</v>
      </c>
      <c r="I962" t="s">
        <v>33</v>
      </c>
      <c r="J962" t="s">
        <v>33</v>
      </c>
      <c r="L962">
        <f t="shared" ref="L962:L1025" si="30">YEAR(A962)</f>
        <v>2020</v>
      </c>
      <c r="M962" t="str">
        <f t="shared" ref="M962:M1025" si="31">IF(L962=2019,"Pre-COVID","COVID Period")</f>
        <v>COVID Period</v>
      </c>
    </row>
    <row r="963" spans="1:13" x14ac:dyDescent="0.25">
      <c r="A963" s="2">
        <v>43983</v>
      </c>
      <c r="B963" t="s">
        <v>45</v>
      </c>
      <c r="C963">
        <v>0</v>
      </c>
      <c r="D963" s="3">
        <v>15.08</v>
      </c>
      <c r="E963" s="3">
        <v>0</v>
      </c>
      <c r="F963">
        <v>3</v>
      </c>
      <c r="G963">
        <v>3</v>
      </c>
      <c r="H963" s="4">
        <v>4.0999999999999996</v>
      </c>
      <c r="I963" t="s">
        <v>33</v>
      </c>
      <c r="J963" t="s">
        <v>33</v>
      </c>
      <c r="L963">
        <f t="shared" si="30"/>
        <v>2020</v>
      </c>
      <c r="M963" t="str">
        <f t="shared" si="31"/>
        <v>COVID Period</v>
      </c>
    </row>
    <row r="964" spans="1:13" x14ac:dyDescent="0.25">
      <c r="A964" s="2">
        <v>43990</v>
      </c>
      <c r="B964" t="s">
        <v>32</v>
      </c>
      <c r="C964">
        <v>5</v>
      </c>
      <c r="D964" s="3">
        <v>6.95</v>
      </c>
      <c r="E964" s="3">
        <v>34.75</v>
      </c>
      <c r="F964">
        <v>8</v>
      </c>
      <c r="G964">
        <v>4</v>
      </c>
      <c r="H964" s="4">
        <v>0</v>
      </c>
      <c r="I964" t="s">
        <v>33</v>
      </c>
      <c r="J964" t="s">
        <v>33</v>
      </c>
      <c r="L964">
        <f t="shared" si="30"/>
        <v>2020</v>
      </c>
      <c r="M964" t="str">
        <f t="shared" si="31"/>
        <v>COVID Period</v>
      </c>
    </row>
    <row r="965" spans="1:13" x14ac:dyDescent="0.25">
      <c r="A965" s="2">
        <v>43990</v>
      </c>
      <c r="B965" t="s">
        <v>34</v>
      </c>
      <c r="C965">
        <v>17</v>
      </c>
      <c r="D965" s="3">
        <v>7.45</v>
      </c>
      <c r="E965" s="3">
        <v>126.65</v>
      </c>
      <c r="F965">
        <v>21</v>
      </c>
      <c r="G965">
        <v>8</v>
      </c>
      <c r="H965" s="4">
        <v>0.7</v>
      </c>
      <c r="I965" t="s">
        <v>33</v>
      </c>
      <c r="J965" t="s">
        <v>33</v>
      </c>
      <c r="L965">
        <f t="shared" si="30"/>
        <v>2020</v>
      </c>
      <c r="M965" t="str">
        <f t="shared" si="31"/>
        <v>COVID Period</v>
      </c>
    </row>
    <row r="966" spans="1:13" x14ac:dyDescent="0.25">
      <c r="A966" s="2">
        <v>43990</v>
      </c>
      <c r="B966" t="s">
        <v>35</v>
      </c>
      <c r="C966">
        <v>11</v>
      </c>
      <c r="D966" s="3">
        <v>5.68</v>
      </c>
      <c r="E966" s="3">
        <v>62.48</v>
      </c>
      <c r="F966">
        <v>14</v>
      </c>
      <c r="G966">
        <v>5</v>
      </c>
      <c r="H966" s="4">
        <v>1.5</v>
      </c>
      <c r="I966" t="s">
        <v>33</v>
      </c>
      <c r="J966" t="s">
        <v>33</v>
      </c>
      <c r="L966">
        <f t="shared" si="30"/>
        <v>2020</v>
      </c>
      <c r="M966" t="str">
        <f t="shared" si="31"/>
        <v>COVID Period</v>
      </c>
    </row>
    <row r="967" spans="1:13" x14ac:dyDescent="0.25">
      <c r="A967" s="2">
        <v>43990</v>
      </c>
      <c r="B967" t="s">
        <v>36</v>
      </c>
      <c r="C967">
        <v>9</v>
      </c>
      <c r="D967" s="3">
        <v>6.42</v>
      </c>
      <c r="E967" s="3">
        <v>57.78</v>
      </c>
      <c r="F967">
        <v>14</v>
      </c>
      <c r="G967">
        <v>7</v>
      </c>
      <c r="H967" s="4">
        <v>1</v>
      </c>
      <c r="I967" t="s">
        <v>33</v>
      </c>
      <c r="J967" t="s">
        <v>33</v>
      </c>
      <c r="L967">
        <f t="shared" si="30"/>
        <v>2020</v>
      </c>
      <c r="M967" t="str">
        <f t="shared" si="31"/>
        <v>COVID Period</v>
      </c>
    </row>
    <row r="968" spans="1:13" x14ac:dyDescent="0.25">
      <c r="A968" s="2">
        <v>43990</v>
      </c>
      <c r="B968" t="s">
        <v>37</v>
      </c>
      <c r="C968">
        <v>27</v>
      </c>
      <c r="D968" s="3">
        <v>3.21</v>
      </c>
      <c r="E968" s="3">
        <v>86.67</v>
      </c>
      <c r="F968">
        <v>31</v>
      </c>
      <c r="G968">
        <v>8</v>
      </c>
      <c r="H968" s="4">
        <v>1.4</v>
      </c>
      <c r="I968" t="s">
        <v>33</v>
      </c>
      <c r="J968" t="s">
        <v>33</v>
      </c>
      <c r="L968">
        <f t="shared" si="30"/>
        <v>2020</v>
      </c>
      <c r="M968" t="str">
        <f t="shared" si="31"/>
        <v>COVID Period</v>
      </c>
    </row>
    <row r="969" spans="1:13" x14ac:dyDescent="0.25">
      <c r="A969" s="2">
        <v>43990</v>
      </c>
      <c r="B969" t="s">
        <v>38</v>
      </c>
      <c r="C969">
        <v>9</v>
      </c>
      <c r="D969" s="3">
        <v>8.23</v>
      </c>
      <c r="E969" s="3">
        <v>74.069999999999993</v>
      </c>
      <c r="F969">
        <v>13</v>
      </c>
      <c r="G969">
        <v>6</v>
      </c>
      <c r="H969" s="4">
        <v>1.8</v>
      </c>
      <c r="I969" t="s">
        <v>33</v>
      </c>
      <c r="J969" t="s">
        <v>33</v>
      </c>
      <c r="L969">
        <f t="shared" si="30"/>
        <v>2020</v>
      </c>
      <c r="M969" t="str">
        <f t="shared" si="31"/>
        <v>COVID Period</v>
      </c>
    </row>
    <row r="970" spans="1:13" x14ac:dyDescent="0.25">
      <c r="A970" s="2">
        <v>43990</v>
      </c>
      <c r="B970" t="s">
        <v>39</v>
      </c>
      <c r="C970">
        <v>27</v>
      </c>
      <c r="D970" s="3">
        <v>11.78</v>
      </c>
      <c r="E970" s="3">
        <v>318.06</v>
      </c>
      <c r="F970">
        <v>29</v>
      </c>
      <c r="G970">
        <v>4</v>
      </c>
      <c r="H970" s="4">
        <v>1.3</v>
      </c>
      <c r="I970" t="s">
        <v>33</v>
      </c>
      <c r="J970" t="s">
        <v>33</v>
      </c>
      <c r="L970">
        <f t="shared" si="30"/>
        <v>2020</v>
      </c>
      <c r="M970" t="str">
        <f t="shared" si="31"/>
        <v>COVID Period</v>
      </c>
    </row>
    <row r="971" spans="1:13" x14ac:dyDescent="0.25">
      <c r="A971" s="2">
        <v>43990</v>
      </c>
      <c r="B971" t="s">
        <v>40</v>
      </c>
      <c r="C971">
        <v>52</v>
      </c>
      <c r="D971" s="3">
        <v>0.66</v>
      </c>
      <c r="E971" s="3">
        <v>34.32</v>
      </c>
      <c r="F971">
        <v>68</v>
      </c>
      <c r="G971">
        <v>27</v>
      </c>
      <c r="H971" s="4">
        <v>3.4</v>
      </c>
      <c r="I971" t="s">
        <v>46</v>
      </c>
      <c r="J971" t="s">
        <v>33</v>
      </c>
      <c r="K971" t="s">
        <v>47</v>
      </c>
      <c r="L971">
        <f t="shared" si="30"/>
        <v>2020</v>
      </c>
      <c r="M971" t="str">
        <f t="shared" si="31"/>
        <v>COVID Period</v>
      </c>
    </row>
    <row r="972" spans="1:13" x14ac:dyDescent="0.25">
      <c r="A972" s="2">
        <v>43990</v>
      </c>
      <c r="B972" t="s">
        <v>41</v>
      </c>
      <c r="C972">
        <v>27</v>
      </c>
      <c r="D972" s="3">
        <v>1.35</v>
      </c>
      <c r="E972" s="3">
        <v>36.450000000000003</v>
      </c>
      <c r="F972">
        <v>35</v>
      </c>
      <c r="G972">
        <v>11</v>
      </c>
      <c r="H972" s="4">
        <v>5.5</v>
      </c>
      <c r="I972" t="s">
        <v>46</v>
      </c>
      <c r="J972" t="s">
        <v>33</v>
      </c>
      <c r="K972" t="s">
        <v>47</v>
      </c>
      <c r="L972">
        <f t="shared" si="30"/>
        <v>2020</v>
      </c>
      <c r="M972" t="str">
        <f t="shared" si="31"/>
        <v>COVID Period</v>
      </c>
    </row>
    <row r="973" spans="1:13" x14ac:dyDescent="0.25">
      <c r="A973" s="2">
        <v>43990</v>
      </c>
      <c r="B973" t="s">
        <v>42</v>
      </c>
      <c r="C973">
        <v>30</v>
      </c>
      <c r="D973" s="3">
        <v>4.0599999999999996</v>
      </c>
      <c r="E973" s="3">
        <v>121.8</v>
      </c>
      <c r="F973">
        <v>34</v>
      </c>
      <c r="G973">
        <v>10</v>
      </c>
      <c r="H973" s="4">
        <v>5</v>
      </c>
      <c r="I973" t="s">
        <v>46</v>
      </c>
      <c r="J973" t="s">
        <v>33</v>
      </c>
      <c r="K973" t="s">
        <v>47</v>
      </c>
      <c r="L973">
        <f t="shared" si="30"/>
        <v>2020</v>
      </c>
      <c r="M973" t="str">
        <f t="shared" si="31"/>
        <v>COVID Period</v>
      </c>
    </row>
    <row r="974" spans="1:13" x14ac:dyDescent="0.25">
      <c r="A974" s="2">
        <v>43990</v>
      </c>
      <c r="B974" t="s">
        <v>43</v>
      </c>
      <c r="C974">
        <v>20</v>
      </c>
      <c r="D974" s="3">
        <v>5.77</v>
      </c>
      <c r="E974" s="3">
        <v>115.4</v>
      </c>
      <c r="F974">
        <v>28</v>
      </c>
      <c r="G974">
        <v>10</v>
      </c>
      <c r="H974" s="4">
        <v>5.5</v>
      </c>
      <c r="I974" t="s">
        <v>46</v>
      </c>
      <c r="J974" t="s">
        <v>33</v>
      </c>
      <c r="L974">
        <f t="shared" si="30"/>
        <v>2020</v>
      </c>
      <c r="M974" t="str">
        <f t="shared" si="31"/>
        <v>COVID Period</v>
      </c>
    </row>
    <row r="975" spans="1:13" x14ac:dyDescent="0.25">
      <c r="A975" s="2">
        <v>43990</v>
      </c>
      <c r="B975" t="s">
        <v>44</v>
      </c>
      <c r="C975">
        <v>0</v>
      </c>
      <c r="D975" s="3">
        <v>4.8899999999999997</v>
      </c>
      <c r="E975" s="3">
        <v>0</v>
      </c>
      <c r="F975">
        <v>3</v>
      </c>
      <c r="G975">
        <v>3</v>
      </c>
      <c r="H975" s="4">
        <v>2.8</v>
      </c>
      <c r="I975" t="s">
        <v>33</v>
      </c>
      <c r="J975" t="s">
        <v>33</v>
      </c>
      <c r="L975">
        <f t="shared" si="30"/>
        <v>2020</v>
      </c>
      <c r="M975" t="str">
        <f t="shared" si="31"/>
        <v>COVID Period</v>
      </c>
    </row>
    <row r="976" spans="1:13" x14ac:dyDescent="0.25">
      <c r="A976" s="2">
        <v>43990</v>
      </c>
      <c r="B976" t="s">
        <v>45</v>
      </c>
      <c r="C976">
        <v>0</v>
      </c>
      <c r="D976" s="3">
        <v>15.3</v>
      </c>
      <c r="E976" s="3">
        <v>0</v>
      </c>
      <c r="F976">
        <v>3</v>
      </c>
      <c r="G976">
        <v>3</v>
      </c>
      <c r="H976" s="4">
        <v>2.2999999999999998</v>
      </c>
      <c r="I976" t="s">
        <v>33</v>
      </c>
      <c r="J976" t="s">
        <v>33</v>
      </c>
      <c r="L976">
        <f t="shared" si="30"/>
        <v>2020</v>
      </c>
      <c r="M976" t="str">
        <f t="shared" si="31"/>
        <v>COVID Period</v>
      </c>
    </row>
    <row r="977" spans="1:13" x14ac:dyDescent="0.25">
      <c r="A977" s="2">
        <v>43997</v>
      </c>
      <c r="B977" t="s">
        <v>32</v>
      </c>
      <c r="C977">
        <v>24</v>
      </c>
      <c r="D977" s="3">
        <v>7.06</v>
      </c>
      <c r="E977" s="3">
        <v>169.44</v>
      </c>
      <c r="F977">
        <v>37</v>
      </c>
      <c r="G977">
        <v>19</v>
      </c>
      <c r="H977" s="4">
        <v>0.8</v>
      </c>
      <c r="I977" t="s">
        <v>33</v>
      </c>
      <c r="J977" t="s">
        <v>33</v>
      </c>
      <c r="L977">
        <f t="shared" si="30"/>
        <v>2020</v>
      </c>
      <c r="M977" t="str">
        <f t="shared" si="31"/>
        <v>COVID Period</v>
      </c>
    </row>
    <row r="978" spans="1:13" x14ac:dyDescent="0.25">
      <c r="A978" s="2">
        <v>43997</v>
      </c>
      <c r="B978" t="s">
        <v>34</v>
      </c>
      <c r="C978">
        <v>17</v>
      </c>
      <c r="D978" s="3">
        <v>7.01</v>
      </c>
      <c r="E978" s="3">
        <v>119.17</v>
      </c>
      <c r="F978">
        <v>23</v>
      </c>
      <c r="G978">
        <v>7</v>
      </c>
      <c r="H978" s="4">
        <v>1.1000000000000001</v>
      </c>
      <c r="I978" t="s">
        <v>33</v>
      </c>
      <c r="J978" t="s">
        <v>33</v>
      </c>
      <c r="L978">
        <f t="shared" si="30"/>
        <v>2020</v>
      </c>
      <c r="M978" t="str">
        <f t="shared" si="31"/>
        <v>COVID Period</v>
      </c>
    </row>
    <row r="979" spans="1:13" x14ac:dyDescent="0.25">
      <c r="A979" s="2">
        <v>43997</v>
      </c>
      <c r="B979" t="s">
        <v>35</v>
      </c>
      <c r="C979">
        <v>9</v>
      </c>
      <c r="D979" s="3">
        <v>6.18</v>
      </c>
      <c r="E979" s="3">
        <v>55.62</v>
      </c>
      <c r="F979">
        <v>12</v>
      </c>
      <c r="G979">
        <v>4</v>
      </c>
      <c r="H979" s="4">
        <v>2.6</v>
      </c>
      <c r="I979" t="s">
        <v>33</v>
      </c>
      <c r="J979" t="s">
        <v>33</v>
      </c>
      <c r="L979">
        <f t="shared" si="30"/>
        <v>2020</v>
      </c>
      <c r="M979" t="str">
        <f t="shared" si="31"/>
        <v>COVID Period</v>
      </c>
    </row>
    <row r="980" spans="1:13" x14ac:dyDescent="0.25">
      <c r="A980" s="2">
        <v>43997</v>
      </c>
      <c r="B980" t="s">
        <v>36</v>
      </c>
      <c r="C980">
        <v>12</v>
      </c>
      <c r="D980" s="3">
        <v>6.41</v>
      </c>
      <c r="E980" s="3">
        <v>76.92</v>
      </c>
      <c r="F980">
        <v>19</v>
      </c>
      <c r="G980">
        <v>9</v>
      </c>
      <c r="H980" s="4">
        <v>0.7</v>
      </c>
      <c r="I980" t="s">
        <v>33</v>
      </c>
      <c r="J980" t="s">
        <v>33</v>
      </c>
      <c r="L980">
        <f t="shared" si="30"/>
        <v>2020</v>
      </c>
      <c r="M980" t="str">
        <f t="shared" si="31"/>
        <v>COVID Period</v>
      </c>
    </row>
    <row r="981" spans="1:13" x14ac:dyDescent="0.25">
      <c r="A981" s="2">
        <v>43997</v>
      </c>
      <c r="B981" t="s">
        <v>37</v>
      </c>
      <c r="C981">
        <v>33</v>
      </c>
      <c r="D981" s="3">
        <v>3.29</v>
      </c>
      <c r="E981" s="3">
        <v>108.57</v>
      </c>
      <c r="F981">
        <v>46</v>
      </c>
      <c r="G981">
        <v>14</v>
      </c>
      <c r="H981" s="4">
        <v>1.7</v>
      </c>
      <c r="I981" t="s">
        <v>33</v>
      </c>
      <c r="J981" t="s">
        <v>33</v>
      </c>
      <c r="L981">
        <f t="shared" si="30"/>
        <v>2020</v>
      </c>
      <c r="M981" t="str">
        <f t="shared" si="31"/>
        <v>COVID Period</v>
      </c>
    </row>
    <row r="982" spans="1:13" x14ac:dyDescent="0.25">
      <c r="A982" s="2">
        <v>43997</v>
      </c>
      <c r="B982" t="s">
        <v>38</v>
      </c>
      <c r="C982">
        <v>11</v>
      </c>
      <c r="D982" s="3">
        <v>8.26</v>
      </c>
      <c r="E982" s="3">
        <v>90.86</v>
      </c>
      <c r="F982">
        <v>17</v>
      </c>
      <c r="G982">
        <v>9</v>
      </c>
      <c r="H982" s="4">
        <v>1.3</v>
      </c>
      <c r="I982" t="s">
        <v>33</v>
      </c>
      <c r="J982" t="s">
        <v>33</v>
      </c>
      <c r="L982">
        <f t="shared" si="30"/>
        <v>2020</v>
      </c>
      <c r="M982" t="str">
        <f t="shared" si="31"/>
        <v>COVID Period</v>
      </c>
    </row>
    <row r="983" spans="1:13" x14ac:dyDescent="0.25">
      <c r="A983" s="2">
        <v>43997</v>
      </c>
      <c r="B983" t="s">
        <v>39</v>
      </c>
      <c r="C983">
        <v>19</v>
      </c>
      <c r="D983" s="3">
        <v>11.67</v>
      </c>
      <c r="E983" s="3">
        <v>221.73</v>
      </c>
      <c r="F983">
        <v>24</v>
      </c>
      <c r="G983">
        <v>5</v>
      </c>
      <c r="H983" s="4">
        <v>0.1</v>
      </c>
      <c r="I983" t="s">
        <v>33</v>
      </c>
      <c r="J983" t="s">
        <v>33</v>
      </c>
      <c r="L983">
        <f t="shared" si="30"/>
        <v>2020</v>
      </c>
      <c r="M983" t="str">
        <f t="shared" si="31"/>
        <v>COVID Period</v>
      </c>
    </row>
    <row r="984" spans="1:13" x14ac:dyDescent="0.25">
      <c r="A984" s="2">
        <v>43997</v>
      </c>
      <c r="B984" t="s">
        <v>40</v>
      </c>
      <c r="C984">
        <v>47</v>
      </c>
      <c r="D984" s="3">
        <v>0.63</v>
      </c>
      <c r="E984" s="3">
        <v>29.61</v>
      </c>
      <c r="F984">
        <v>72</v>
      </c>
      <c r="G984">
        <v>32</v>
      </c>
      <c r="H984" s="4">
        <v>4.7</v>
      </c>
      <c r="I984" t="s">
        <v>46</v>
      </c>
      <c r="J984" t="s">
        <v>33</v>
      </c>
      <c r="K984" t="s">
        <v>47</v>
      </c>
      <c r="L984">
        <f t="shared" si="30"/>
        <v>2020</v>
      </c>
      <c r="M984" t="str">
        <f t="shared" si="31"/>
        <v>COVID Period</v>
      </c>
    </row>
    <row r="985" spans="1:13" x14ac:dyDescent="0.25">
      <c r="A985" s="2">
        <v>43997</v>
      </c>
      <c r="B985" t="s">
        <v>41</v>
      </c>
      <c r="C985">
        <v>30</v>
      </c>
      <c r="D985" s="3">
        <v>1.39</v>
      </c>
      <c r="E985" s="3">
        <v>41.7</v>
      </c>
      <c r="F985">
        <v>39</v>
      </c>
      <c r="G985">
        <v>11</v>
      </c>
      <c r="H985" s="4">
        <v>3.2</v>
      </c>
      <c r="I985" t="s">
        <v>46</v>
      </c>
      <c r="J985" t="s">
        <v>33</v>
      </c>
      <c r="K985" t="s">
        <v>47</v>
      </c>
      <c r="L985">
        <f t="shared" si="30"/>
        <v>2020</v>
      </c>
      <c r="M985" t="str">
        <f t="shared" si="31"/>
        <v>COVID Period</v>
      </c>
    </row>
    <row r="986" spans="1:13" x14ac:dyDescent="0.25">
      <c r="A986" s="2">
        <v>43997</v>
      </c>
      <c r="B986" t="s">
        <v>42</v>
      </c>
      <c r="C986">
        <v>39</v>
      </c>
      <c r="D986" s="3">
        <v>4.3499999999999996</v>
      </c>
      <c r="E986" s="3">
        <v>169.65</v>
      </c>
      <c r="F986">
        <v>61</v>
      </c>
      <c r="G986">
        <v>25</v>
      </c>
      <c r="H986" s="4">
        <v>3.8</v>
      </c>
      <c r="I986" t="s">
        <v>46</v>
      </c>
      <c r="J986" t="s">
        <v>33</v>
      </c>
      <c r="K986" t="s">
        <v>47</v>
      </c>
      <c r="L986">
        <f t="shared" si="30"/>
        <v>2020</v>
      </c>
      <c r="M986" t="str">
        <f t="shared" si="31"/>
        <v>COVID Period</v>
      </c>
    </row>
    <row r="987" spans="1:13" x14ac:dyDescent="0.25">
      <c r="A987" s="2">
        <v>43997</v>
      </c>
      <c r="B987" t="s">
        <v>43</v>
      </c>
      <c r="C987">
        <v>31</v>
      </c>
      <c r="D987" s="3">
        <v>5.68</v>
      </c>
      <c r="E987" s="3">
        <v>176.08</v>
      </c>
      <c r="F987">
        <v>36</v>
      </c>
      <c r="G987">
        <v>10</v>
      </c>
      <c r="H987" s="4">
        <v>4.8</v>
      </c>
      <c r="I987" t="s">
        <v>46</v>
      </c>
      <c r="J987" t="s">
        <v>33</v>
      </c>
      <c r="L987">
        <f t="shared" si="30"/>
        <v>2020</v>
      </c>
      <c r="M987" t="str">
        <f t="shared" si="31"/>
        <v>COVID Period</v>
      </c>
    </row>
    <row r="988" spans="1:13" x14ac:dyDescent="0.25">
      <c r="A988" s="2">
        <v>43997</v>
      </c>
      <c r="B988" t="s">
        <v>44</v>
      </c>
      <c r="C988">
        <v>0</v>
      </c>
      <c r="D988" s="3">
        <v>4.95</v>
      </c>
      <c r="E988" s="3">
        <v>0</v>
      </c>
      <c r="F988">
        <v>3</v>
      </c>
      <c r="G988">
        <v>3</v>
      </c>
      <c r="H988" s="4">
        <v>3</v>
      </c>
      <c r="I988" t="s">
        <v>33</v>
      </c>
      <c r="J988" t="s">
        <v>33</v>
      </c>
      <c r="L988">
        <f t="shared" si="30"/>
        <v>2020</v>
      </c>
      <c r="M988" t="str">
        <f t="shared" si="31"/>
        <v>COVID Period</v>
      </c>
    </row>
    <row r="989" spans="1:13" x14ac:dyDescent="0.25">
      <c r="A989" s="2">
        <v>43997</v>
      </c>
      <c r="B989" t="s">
        <v>45</v>
      </c>
      <c r="C989">
        <v>0</v>
      </c>
      <c r="D989" s="3">
        <v>14.48</v>
      </c>
      <c r="E989" s="3">
        <v>0</v>
      </c>
      <c r="F989">
        <v>3</v>
      </c>
      <c r="G989">
        <v>3</v>
      </c>
      <c r="H989" s="4">
        <v>2.9</v>
      </c>
      <c r="I989" t="s">
        <v>33</v>
      </c>
      <c r="J989" t="s">
        <v>33</v>
      </c>
      <c r="L989">
        <f t="shared" si="30"/>
        <v>2020</v>
      </c>
      <c r="M989" t="str">
        <f t="shared" si="31"/>
        <v>COVID Period</v>
      </c>
    </row>
    <row r="990" spans="1:13" x14ac:dyDescent="0.25">
      <c r="A990" s="2">
        <v>44004</v>
      </c>
      <c r="B990" t="s">
        <v>32</v>
      </c>
      <c r="C990">
        <v>11</v>
      </c>
      <c r="D990" s="3">
        <v>6.79</v>
      </c>
      <c r="E990" s="3">
        <v>74.69</v>
      </c>
      <c r="F990">
        <v>13</v>
      </c>
      <c r="G990">
        <v>2</v>
      </c>
      <c r="H990" s="4">
        <v>1.9</v>
      </c>
      <c r="I990" t="s">
        <v>33</v>
      </c>
      <c r="J990" t="s">
        <v>33</v>
      </c>
      <c r="L990">
        <f t="shared" si="30"/>
        <v>2020</v>
      </c>
      <c r="M990" t="str">
        <f t="shared" si="31"/>
        <v>COVID Period</v>
      </c>
    </row>
    <row r="991" spans="1:13" x14ac:dyDescent="0.25">
      <c r="A991" s="2">
        <v>44004</v>
      </c>
      <c r="B991" t="s">
        <v>34</v>
      </c>
      <c r="C991">
        <v>24</v>
      </c>
      <c r="D991" s="3">
        <v>7.44</v>
      </c>
      <c r="E991" s="3">
        <v>178.56</v>
      </c>
      <c r="F991">
        <v>31</v>
      </c>
      <c r="G991">
        <v>8</v>
      </c>
      <c r="H991" s="4">
        <v>1.3</v>
      </c>
      <c r="I991" t="s">
        <v>33</v>
      </c>
      <c r="J991" t="s">
        <v>33</v>
      </c>
      <c r="L991">
        <f t="shared" si="30"/>
        <v>2020</v>
      </c>
      <c r="M991" t="str">
        <f t="shared" si="31"/>
        <v>COVID Period</v>
      </c>
    </row>
    <row r="992" spans="1:13" x14ac:dyDescent="0.25">
      <c r="A992" s="2">
        <v>44004</v>
      </c>
      <c r="B992" t="s">
        <v>35</v>
      </c>
      <c r="C992">
        <v>9</v>
      </c>
      <c r="D992" s="3">
        <v>5.69</v>
      </c>
      <c r="E992" s="3">
        <v>51.21</v>
      </c>
      <c r="F992">
        <v>11</v>
      </c>
      <c r="G992">
        <v>3</v>
      </c>
      <c r="H992" s="4">
        <v>0.8</v>
      </c>
      <c r="I992" t="s">
        <v>33</v>
      </c>
      <c r="J992" t="s">
        <v>33</v>
      </c>
      <c r="L992">
        <f t="shared" si="30"/>
        <v>2020</v>
      </c>
      <c r="M992" t="str">
        <f t="shared" si="31"/>
        <v>COVID Period</v>
      </c>
    </row>
    <row r="993" spans="1:13" x14ac:dyDescent="0.25">
      <c r="A993" s="2">
        <v>44004</v>
      </c>
      <c r="B993" t="s">
        <v>36</v>
      </c>
      <c r="C993">
        <v>8</v>
      </c>
      <c r="D993" s="3">
        <v>6.31</v>
      </c>
      <c r="E993" s="3">
        <v>50.48</v>
      </c>
      <c r="F993">
        <v>11</v>
      </c>
      <c r="G993">
        <v>4</v>
      </c>
      <c r="H993" s="4">
        <v>2</v>
      </c>
      <c r="I993" t="s">
        <v>33</v>
      </c>
      <c r="J993" t="s">
        <v>33</v>
      </c>
      <c r="L993">
        <f t="shared" si="30"/>
        <v>2020</v>
      </c>
      <c r="M993" t="str">
        <f t="shared" si="31"/>
        <v>COVID Period</v>
      </c>
    </row>
    <row r="994" spans="1:13" x14ac:dyDescent="0.25">
      <c r="A994" s="2">
        <v>44004</v>
      </c>
      <c r="B994" t="s">
        <v>37</v>
      </c>
      <c r="C994">
        <v>20</v>
      </c>
      <c r="D994" s="3">
        <v>3.08</v>
      </c>
      <c r="E994" s="3">
        <v>61.6</v>
      </c>
      <c r="F994">
        <v>24</v>
      </c>
      <c r="G994">
        <v>7</v>
      </c>
      <c r="H994" s="4">
        <v>2.7</v>
      </c>
      <c r="I994" t="s">
        <v>33</v>
      </c>
      <c r="J994" t="s">
        <v>33</v>
      </c>
      <c r="L994">
        <f t="shared" si="30"/>
        <v>2020</v>
      </c>
      <c r="M994" t="str">
        <f t="shared" si="31"/>
        <v>COVID Period</v>
      </c>
    </row>
    <row r="995" spans="1:13" x14ac:dyDescent="0.25">
      <c r="A995" s="2">
        <v>44004</v>
      </c>
      <c r="B995" t="s">
        <v>38</v>
      </c>
      <c r="C995">
        <v>12</v>
      </c>
      <c r="D995" s="3">
        <v>8.68</v>
      </c>
      <c r="E995" s="3">
        <v>104.16</v>
      </c>
      <c r="F995">
        <v>14</v>
      </c>
      <c r="G995">
        <v>3</v>
      </c>
      <c r="H995" s="4">
        <v>3.4</v>
      </c>
      <c r="I995" t="s">
        <v>33</v>
      </c>
      <c r="J995" t="s">
        <v>33</v>
      </c>
      <c r="L995">
        <f t="shared" si="30"/>
        <v>2020</v>
      </c>
      <c r="M995" t="str">
        <f t="shared" si="31"/>
        <v>COVID Period</v>
      </c>
    </row>
    <row r="996" spans="1:13" x14ac:dyDescent="0.25">
      <c r="A996" s="2">
        <v>44004</v>
      </c>
      <c r="B996" t="s">
        <v>39</v>
      </c>
      <c r="C996">
        <v>16</v>
      </c>
      <c r="D996" s="3">
        <v>11.7</v>
      </c>
      <c r="E996" s="3">
        <v>187.2</v>
      </c>
      <c r="F996">
        <v>18</v>
      </c>
      <c r="G996">
        <v>4</v>
      </c>
      <c r="H996" s="4">
        <v>1.3</v>
      </c>
      <c r="I996" t="s">
        <v>33</v>
      </c>
      <c r="J996" t="s">
        <v>33</v>
      </c>
      <c r="L996">
        <f t="shared" si="30"/>
        <v>2020</v>
      </c>
      <c r="M996" t="str">
        <f t="shared" si="31"/>
        <v>COVID Period</v>
      </c>
    </row>
    <row r="997" spans="1:13" x14ac:dyDescent="0.25">
      <c r="A997" s="2">
        <v>44004</v>
      </c>
      <c r="B997" t="s">
        <v>40</v>
      </c>
      <c r="C997">
        <v>58</v>
      </c>
      <c r="D997" s="3">
        <v>0.64</v>
      </c>
      <c r="E997" s="3">
        <v>37.119999999999997</v>
      </c>
      <c r="F997">
        <v>81</v>
      </c>
      <c r="G997">
        <v>37</v>
      </c>
      <c r="H997" s="4">
        <v>3.3</v>
      </c>
      <c r="I997" t="s">
        <v>46</v>
      </c>
      <c r="J997" t="s">
        <v>33</v>
      </c>
      <c r="K997" t="s">
        <v>47</v>
      </c>
      <c r="L997">
        <f t="shared" si="30"/>
        <v>2020</v>
      </c>
      <c r="M997" t="str">
        <f t="shared" si="31"/>
        <v>COVID Period</v>
      </c>
    </row>
    <row r="998" spans="1:13" x14ac:dyDescent="0.25">
      <c r="A998" s="2">
        <v>44004</v>
      </c>
      <c r="B998" t="s">
        <v>41</v>
      </c>
      <c r="C998">
        <v>23</v>
      </c>
      <c r="D998" s="3">
        <v>1.4</v>
      </c>
      <c r="E998" s="3">
        <v>32.200000000000003</v>
      </c>
      <c r="F998">
        <v>29</v>
      </c>
      <c r="G998">
        <v>7</v>
      </c>
      <c r="H998" s="4">
        <v>5.0999999999999996</v>
      </c>
      <c r="I998" t="s">
        <v>46</v>
      </c>
      <c r="J998" t="s">
        <v>33</v>
      </c>
      <c r="K998" t="s">
        <v>47</v>
      </c>
      <c r="L998">
        <f t="shared" si="30"/>
        <v>2020</v>
      </c>
      <c r="M998" t="str">
        <f t="shared" si="31"/>
        <v>COVID Period</v>
      </c>
    </row>
    <row r="999" spans="1:13" x14ac:dyDescent="0.25">
      <c r="A999" s="2">
        <v>44004</v>
      </c>
      <c r="B999" t="s">
        <v>42</v>
      </c>
      <c r="C999">
        <v>23</v>
      </c>
      <c r="D999" s="3">
        <v>4.13</v>
      </c>
      <c r="E999" s="3">
        <v>94.99</v>
      </c>
      <c r="F999">
        <v>27</v>
      </c>
      <c r="G999">
        <v>6</v>
      </c>
      <c r="H999" s="4">
        <v>2.1</v>
      </c>
      <c r="I999" t="s">
        <v>46</v>
      </c>
      <c r="J999" t="s">
        <v>33</v>
      </c>
      <c r="K999" t="s">
        <v>47</v>
      </c>
      <c r="L999">
        <f t="shared" si="30"/>
        <v>2020</v>
      </c>
      <c r="M999" t="str">
        <f t="shared" si="31"/>
        <v>COVID Period</v>
      </c>
    </row>
    <row r="1000" spans="1:13" x14ac:dyDescent="0.25">
      <c r="A1000" s="2">
        <v>44004</v>
      </c>
      <c r="B1000" t="s">
        <v>43</v>
      </c>
      <c r="C1000">
        <v>21</v>
      </c>
      <c r="D1000" s="3">
        <v>5.46</v>
      </c>
      <c r="E1000" s="3">
        <v>114.66</v>
      </c>
      <c r="F1000">
        <v>24</v>
      </c>
      <c r="G1000">
        <v>6</v>
      </c>
      <c r="H1000" s="4">
        <v>3.1</v>
      </c>
      <c r="I1000" t="s">
        <v>46</v>
      </c>
      <c r="J1000" t="s">
        <v>33</v>
      </c>
      <c r="L1000">
        <f t="shared" si="30"/>
        <v>2020</v>
      </c>
      <c r="M1000" t="str">
        <f t="shared" si="31"/>
        <v>COVID Period</v>
      </c>
    </row>
    <row r="1001" spans="1:13" x14ac:dyDescent="0.25">
      <c r="A1001" s="2">
        <v>44004</v>
      </c>
      <c r="B1001" t="s">
        <v>44</v>
      </c>
      <c r="C1001">
        <v>1</v>
      </c>
      <c r="D1001" s="3">
        <v>5</v>
      </c>
      <c r="E1001" s="3">
        <v>5</v>
      </c>
      <c r="F1001">
        <v>3</v>
      </c>
      <c r="G1001">
        <v>3</v>
      </c>
      <c r="H1001" s="4">
        <v>2.1</v>
      </c>
      <c r="I1001" t="s">
        <v>46</v>
      </c>
      <c r="J1001" t="s">
        <v>33</v>
      </c>
      <c r="K1001" t="s">
        <v>47</v>
      </c>
      <c r="L1001">
        <f t="shared" si="30"/>
        <v>2020</v>
      </c>
      <c r="M1001" t="str">
        <f t="shared" si="31"/>
        <v>COVID Period</v>
      </c>
    </row>
    <row r="1002" spans="1:13" x14ac:dyDescent="0.25">
      <c r="A1002" s="2">
        <v>44004</v>
      </c>
      <c r="B1002" t="s">
        <v>45</v>
      </c>
      <c r="C1002">
        <v>0</v>
      </c>
      <c r="D1002" s="3">
        <v>14.96</v>
      </c>
      <c r="E1002" s="3">
        <v>0</v>
      </c>
      <c r="F1002">
        <v>3</v>
      </c>
      <c r="G1002">
        <v>3</v>
      </c>
      <c r="H1002" s="4">
        <v>4</v>
      </c>
      <c r="I1002" t="s">
        <v>33</v>
      </c>
      <c r="J1002" t="s">
        <v>33</v>
      </c>
      <c r="L1002">
        <f t="shared" si="30"/>
        <v>2020</v>
      </c>
      <c r="M1002" t="str">
        <f t="shared" si="31"/>
        <v>COVID Period</v>
      </c>
    </row>
    <row r="1003" spans="1:13" x14ac:dyDescent="0.25">
      <c r="A1003" s="2">
        <v>44011</v>
      </c>
      <c r="B1003" t="s">
        <v>32</v>
      </c>
      <c r="C1003">
        <v>17</v>
      </c>
      <c r="D1003" s="3">
        <v>6.91</v>
      </c>
      <c r="E1003" s="3">
        <v>117.47</v>
      </c>
      <c r="F1003">
        <v>21</v>
      </c>
      <c r="G1003">
        <v>8</v>
      </c>
      <c r="H1003" s="4">
        <v>0.8</v>
      </c>
      <c r="I1003" t="s">
        <v>33</v>
      </c>
      <c r="J1003" t="s">
        <v>33</v>
      </c>
      <c r="L1003">
        <f t="shared" si="30"/>
        <v>2020</v>
      </c>
      <c r="M1003" t="str">
        <f t="shared" si="31"/>
        <v>COVID Period</v>
      </c>
    </row>
    <row r="1004" spans="1:13" x14ac:dyDescent="0.25">
      <c r="A1004" s="2">
        <v>44011</v>
      </c>
      <c r="B1004" t="s">
        <v>34</v>
      </c>
      <c r="C1004">
        <v>15</v>
      </c>
      <c r="D1004" s="3">
        <v>7.24</v>
      </c>
      <c r="E1004" s="3">
        <v>108.6</v>
      </c>
      <c r="F1004">
        <v>22</v>
      </c>
      <c r="G1004">
        <v>9</v>
      </c>
      <c r="H1004" s="4">
        <v>1.4</v>
      </c>
      <c r="I1004" t="s">
        <v>33</v>
      </c>
      <c r="J1004" t="s">
        <v>33</v>
      </c>
      <c r="L1004">
        <f t="shared" si="30"/>
        <v>2020</v>
      </c>
      <c r="M1004" t="str">
        <f t="shared" si="31"/>
        <v>COVID Period</v>
      </c>
    </row>
    <row r="1005" spans="1:13" x14ac:dyDescent="0.25">
      <c r="A1005" s="2">
        <v>44011</v>
      </c>
      <c r="B1005" t="s">
        <v>35</v>
      </c>
      <c r="C1005">
        <v>10</v>
      </c>
      <c r="D1005" s="3">
        <v>5.92</v>
      </c>
      <c r="E1005" s="3">
        <v>59.2</v>
      </c>
      <c r="F1005">
        <v>14</v>
      </c>
      <c r="G1005">
        <v>4</v>
      </c>
      <c r="H1005" s="4">
        <v>1</v>
      </c>
      <c r="I1005" t="s">
        <v>33</v>
      </c>
      <c r="J1005" t="s">
        <v>33</v>
      </c>
      <c r="L1005">
        <f t="shared" si="30"/>
        <v>2020</v>
      </c>
      <c r="M1005" t="str">
        <f t="shared" si="31"/>
        <v>COVID Period</v>
      </c>
    </row>
    <row r="1006" spans="1:13" x14ac:dyDescent="0.25">
      <c r="A1006" s="2">
        <v>44011</v>
      </c>
      <c r="B1006" t="s">
        <v>36</v>
      </c>
      <c r="C1006">
        <v>9</v>
      </c>
      <c r="D1006" s="3">
        <v>6.44</v>
      </c>
      <c r="E1006" s="3">
        <v>57.96</v>
      </c>
      <c r="F1006">
        <v>13</v>
      </c>
      <c r="G1006">
        <v>6</v>
      </c>
      <c r="H1006" s="4">
        <v>0.7</v>
      </c>
      <c r="I1006" t="s">
        <v>33</v>
      </c>
      <c r="J1006" t="s">
        <v>33</v>
      </c>
      <c r="L1006">
        <f t="shared" si="30"/>
        <v>2020</v>
      </c>
      <c r="M1006" t="str">
        <f t="shared" si="31"/>
        <v>COVID Period</v>
      </c>
    </row>
    <row r="1007" spans="1:13" x14ac:dyDescent="0.25">
      <c r="A1007" s="2">
        <v>44011</v>
      </c>
      <c r="B1007" t="s">
        <v>37</v>
      </c>
      <c r="C1007">
        <v>31</v>
      </c>
      <c r="D1007" s="3">
        <v>3.35</v>
      </c>
      <c r="E1007" s="3">
        <v>103.85</v>
      </c>
      <c r="F1007">
        <v>38</v>
      </c>
      <c r="G1007">
        <v>9</v>
      </c>
      <c r="H1007" s="4">
        <v>1.7</v>
      </c>
      <c r="I1007" t="s">
        <v>33</v>
      </c>
      <c r="J1007" t="s">
        <v>33</v>
      </c>
      <c r="L1007">
        <f t="shared" si="30"/>
        <v>2020</v>
      </c>
      <c r="M1007" t="str">
        <f t="shared" si="31"/>
        <v>COVID Period</v>
      </c>
    </row>
    <row r="1008" spans="1:13" x14ac:dyDescent="0.25">
      <c r="A1008" s="2">
        <v>44011</v>
      </c>
      <c r="B1008" t="s">
        <v>38</v>
      </c>
      <c r="C1008">
        <v>12</v>
      </c>
      <c r="D1008" s="3">
        <v>8.83</v>
      </c>
      <c r="E1008" s="3">
        <v>105.96</v>
      </c>
      <c r="F1008">
        <v>13</v>
      </c>
      <c r="G1008">
        <v>3</v>
      </c>
      <c r="H1008" s="4">
        <v>1.5</v>
      </c>
      <c r="I1008" t="s">
        <v>33</v>
      </c>
      <c r="J1008" t="s">
        <v>33</v>
      </c>
      <c r="L1008">
        <f t="shared" si="30"/>
        <v>2020</v>
      </c>
      <c r="M1008" t="str">
        <f t="shared" si="31"/>
        <v>COVID Period</v>
      </c>
    </row>
    <row r="1009" spans="1:13" x14ac:dyDescent="0.25">
      <c r="A1009" s="2">
        <v>44011</v>
      </c>
      <c r="B1009" t="s">
        <v>39</v>
      </c>
      <c r="C1009">
        <v>22</v>
      </c>
      <c r="D1009" s="3">
        <v>11.61</v>
      </c>
      <c r="E1009" s="3">
        <v>255.42</v>
      </c>
      <c r="F1009">
        <v>26</v>
      </c>
      <c r="G1009">
        <v>8</v>
      </c>
      <c r="H1009" s="4">
        <v>1</v>
      </c>
      <c r="I1009" t="s">
        <v>33</v>
      </c>
      <c r="J1009" t="s">
        <v>33</v>
      </c>
      <c r="L1009">
        <f t="shared" si="30"/>
        <v>2020</v>
      </c>
      <c r="M1009" t="str">
        <f t="shared" si="31"/>
        <v>COVID Period</v>
      </c>
    </row>
    <row r="1010" spans="1:13" x14ac:dyDescent="0.25">
      <c r="A1010" s="2">
        <v>44011</v>
      </c>
      <c r="B1010" t="s">
        <v>40</v>
      </c>
      <c r="C1010">
        <v>44</v>
      </c>
      <c r="D1010" s="3">
        <v>0.67</v>
      </c>
      <c r="E1010" s="3">
        <v>29.48</v>
      </c>
      <c r="F1010">
        <v>65</v>
      </c>
      <c r="G1010">
        <v>28</v>
      </c>
      <c r="H1010" s="4">
        <v>4.5</v>
      </c>
      <c r="I1010" t="s">
        <v>46</v>
      </c>
      <c r="J1010" t="s">
        <v>33</v>
      </c>
      <c r="K1010" t="s">
        <v>47</v>
      </c>
      <c r="L1010">
        <f t="shared" si="30"/>
        <v>2020</v>
      </c>
      <c r="M1010" t="str">
        <f t="shared" si="31"/>
        <v>COVID Period</v>
      </c>
    </row>
    <row r="1011" spans="1:13" x14ac:dyDescent="0.25">
      <c r="A1011" s="2">
        <v>44011</v>
      </c>
      <c r="B1011" t="s">
        <v>41</v>
      </c>
      <c r="C1011">
        <v>25</v>
      </c>
      <c r="D1011" s="3">
        <v>1.31</v>
      </c>
      <c r="E1011" s="3">
        <v>32.75</v>
      </c>
      <c r="F1011">
        <v>26</v>
      </c>
      <c r="G1011">
        <v>2</v>
      </c>
      <c r="H1011" s="4">
        <v>5.2</v>
      </c>
      <c r="I1011" t="s">
        <v>46</v>
      </c>
      <c r="J1011" t="s">
        <v>33</v>
      </c>
      <c r="K1011" t="s">
        <v>47</v>
      </c>
      <c r="L1011">
        <f t="shared" si="30"/>
        <v>2020</v>
      </c>
      <c r="M1011" t="str">
        <f t="shared" si="31"/>
        <v>COVID Period</v>
      </c>
    </row>
    <row r="1012" spans="1:13" x14ac:dyDescent="0.25">
      <c r="A1012" s="2">
        <v>44011</v>
      </c>
      <c r="B1012" t="s">
        <v>42</v>
      </c>
      <c r="C1012">
        <v>35</v>
      </c>
      <c r="D1012" s="3">
        <v>4.38</v>
      </c>
      <c r="E1012" s="3">
        <v>153.30000000000001</v>
      </c>
      <c r="F1012">
        <v>47</v>
      </c>
      <c r="G1012">
        <v>18</v>
      </c>
      <c r="H1012" s="4">
        <v>4.3</v>
      </c>
      <c r="I1012" t="s">
        <v>46</v>
      </c>
      <c r="J1012" t="s">
        <v>33</v>
      </c>
      <c r="K1012" t="s">
        <v>47</v>
      </c>
      <c r="L1012">
        <f t="shared" si="30"/>
        <v>2020</v>
      </c>
      <c r="M1012" t="str">
        <f t="shared" si="31"/>
        <v>COVID Period</v>
      </c>
    </row>
    <row r="1013" spans="1:13" x14ac:dyDescent="0.25">
      <c r="A1013" s="2">
        <v>44011</v>
      </c>
      <c r="B1013" t="s">
        <v>43</v>
      </c>
      <c r="C1013">
        <v>22</v>
      </c>
      <c r="D1013" s="3">
        <v>5.74</v>
      </c>
      <c r="E1013" s="3">
        <v>126.28</v>
      </c>
      <c r="F1013">
        <v>27</v>
      </c>
      <c r="G1013">
        <v>10</v>
      </c>
      <c r="H1013" s="4">
        <v>2.1</v>
      </c>
      <c r="I1013" t="s">
        <v>46</v>
      </c>
      <c r="J1013" t="s">
        <v>33</v>
      </c>
      <c r="L1013">
        <f t="shared" si="30"/>
        <v>2020</v>
      </c>
      <c r="M1013" t="str">
        <f t="shared" si="31"/>
        <v>COVID Period</v>
      </c>
    </row>
    <row r="1014" spans="1:13" x14ac:dyDescent="0.25">
      <c r="A1014" s="2">
        <v>44011</v>
      </c>
      <c r="B1014" t="s">
        <v>44</v>
      </c>
      <c r="C1014">
        <v>0</v>
      </c>
      <c r="D1014" s="3">
        <v>4.8</v>
      </c>
      <c r="E1014" s="3">
        <v>0</v>
      </c>
      <c r="F1014">
        <v>3</v>
      </c>
      <c r="G1014">
        <v>3</v>
      </c>
      <c r="H1014" s="4">
        <v>2.8</v>
      </c>
      <c r="I1014" t="s">
        <v>33</v>
      </c>
      <c r="J1014" t="s">
        <v>33</v>
      </c>
      <c r="L1014">
        <f t="shared" si="30"/>
        <v>2020</v>
      </c>
      <c r="M1014" t="str">
        <f t="shared" si="31"/>
        <v>COVID Period</v>
      </c>
    </row>
    <row r="1015" spans="1:13" x14ac:dyDescent="0.25">
      <c r="A1015" s="2">
        <v>44011</v>
      </c>
      <c r="B1015" t="s">
        <v>45</v>
      </c>
      <c r="C1015">
        <v>1</v>
      </c>
      <c r="D1015" s="3">
        <v>14.84</v>
      </c>
      <c r="E1015" s="3">
        <v>14.84</v>
      </c>
      <c r="F1015">
        <v>3</v>
      </c>
      <c r="G1015">
        <v>2</v>
      </c>
      <c r="H1015" s="4">
        <v>2.9</v>
      </c>
      <c r="I1015" t="s">
        <v>46</v>
      </c>
      <c r="J1015" t="s">
        <v>33</v>
      </c>
      <c r="L1015">
        <f t="shared" si="30"/>
        <v>2020</v>
      </c>
      <c r="M1015" t="str">
        <f t="shared" si="31"/>
        <v>COVID Period</v>
      </c>
    </row>
    <row r="1016" spans="1:13" x14ac:dyDescent="0.25">
      <c r="A1016" s="2">
        <v>44018</v>
      </c>
      <c r="B1016" t="s">
        <v>32</v>
      </c>
      <c r="C1016">
        <v>18</v>
      </c>
      <c r="D1016" s="3">
        <v>6.75</v>
      </c>
      <c r="E1016" s="3">
        <v>121.5</v>
      </c>
      <c r="F1016">
        <v>25</v>
      </c>
      <c r="G1016">
        <v>7</v>
      </c>
      <c r="H1016" s="4">
        <v>2</v>
      </c>
      <c r="I1016" t="s">
        <v>33</v>
      </c>
      <c r="J1016" t="s">
        <v>33</v>
      </c>
      <c r="L1016">
        <f t="shared" si="30"/>
        <v>2020</v>
      </c>
      <c r="M1016" t="str">
        <f t="shared" si="31"/>
        <v>COVID Period</v>
      </c>
    </row>
    <row r="1017" spans="1:13" x14ac:dyDescent="0.25">
      <c r="A1017" s="2">
        <v>44018</v>
      </c>
      <c r="B1017" t="s">
        <v>34</v>
      </c>
      <c r="C1017">
        <v>14</v>
      </c>
      <c r="D1017" s="3">
        <v>7.19</v>
      </c>
      <c r="E1017" s="3">
        <v>100.66</v>
      </c>
      <c r="F1017">
        <v>17</v>
      </c>
      <c r="G1017">
        <v>5</v>
      </c>
      <c r="H1017" s="4">
        <v>1.2</v>
      </c>
      <c r="I1017" t="s">
        <v>33</v>
      </c>
      <c r="J1017" t="s">
        <v>33</v>
      </c>
      <c r="L1017">
        <f t="shared" si="30"/>
        <v>2020</v>
      </c>
      <c r="M1017" t="str">
        <f t="shared" si="31"/>
        <v>COVID Period</v>
      </c>
    </row>
    <row r="1018" spans="1:13" x14ac:dyDescent="0.25">
      <c r="A1018" s="2">
        <v>44018</v>
      </c>
      <c r="B1018" t="s">
        <v>35</v>
      </c>
      <c r="C1018">
        <v>11</v>
      </c>
      <c r="D1018" s="3">
        <v>6.06</v>
      </c>
      <c r="E1018" s="3">
        <v>66.66</v>
      </c>
      <c r="F1018">
        <v>15</v>
      </c>
      <c r="G1018">
        <v>5</v>
      </c>
      <c r="H1018" s="4">
        <v>2.2000000000000002</v>
      </c>
      <c r="I1018" t="s">
        <v>33</v>
      </c>
      <c r="J1018" t="s">
        <v>33</v>
      </c>
      <c r="L1018">
        <f t="shared" si="30"/>
        <v>2020</v>
      </c>
      <c r="M1018" t="str">
        <f t="shared" si="31"/>
        <v>COVID Period</v>
      </c>
    </row>
    <row r="1019" spans="1:13" x14ac:dyDescent="0.25">
      <c r="A1019" s="2">
        <v>44018</v>
      </c>
      <c r="B1019" t="s">
        <v>36</v>
      </c>
      <c r="C1019">
        <v>12</v>
      </c>
      <c r="D1019" s="3">
        <v>6.1</v>
      </c>
      <c r="E1019" s="3">
        <v>73.2</v>
      </c>
      <c r="F1019">
        <v>19</v>
      </c>
      <c r="G1019">
        <v>10</v>
      </c>
      <c r="H1019" s="4">
        <v>1.6</v>
      </c>
      <c r="I1019" t="s">
        <v>33</v>
      </c>
      <c r="J1019" t="s">
        <v>33</v>
      </c>
      <c r="L1019">
        <f t="shared" si="30"/>
        <v>2020</v>
      </c>
      <c r="M1019" t="str">
        <f t="shared" si="31"/>
        <v>COVID Period</v>
      </c>
    </row>
    <row r="1020" spans="1:13" x14ac:dyDescent="0.25">
      <c r="A1020" s="2">
        <v>44018</v>
      </c>
      <c r="B1020" t="s">
        <v>37</v>
      </c>
      <c r="C1020">
        <v>33</v>
      </c>
      <c r="D1020" s="3">
        <v>3.09</v>
      </c>
      <c r="E1020" s="3">
        <v>101.97</v>
      </c>
      <c r="F1020">
        <v>47</v>
      </c>
      <c r="G1020">
        <v>18</v>
      </c>
      <c r="H1020" s="4">
        <v>2.7</v>
      </c>
      <c r="I1020" t="s">
        <v>33</v>
      </c>
      <c r="J1020" t="s">
        <v>33</v>
      </c>
      <c r="L1020">
        <f t="shared" si="30"/>
        <v>2020</v>
      </c>
      <c r="M1020" t="str">
        <f t="shared" si="31"/>
        <v>COVID Period</v>
      </c>
    </row>
    <row r="1021" spans="1:13" x14ac:dyDescent="0.25">
      <c r="A1021" s="2">
        <v>44018</v>
      </c>
      <c r="B1021" t="s">
        <v>38</v>
      </c>
      <c r="C1021">
        <v>14</v>
      </c>
      <c r="D1021" s="3">
        <v>8.9</v>
      </c>
      <c r="E1021" s="3">
        <v>124.6</v>
      </c>
      <c r="F1021">
        <v>15</v>
      </c>
      <c r="G1021">
        <v>2</v>
      </c>
      <c r="H1021" s="4">
        <v>1</v>
      </c>
      <c r="I1021" t="s">
        <v>33</v>
      </c>
      <c r="J1021" t="s">
        <v>33</v>
      </c>
      <c r="L1021">
        <f t="shared" si="30"/>
        <v>2020</v>
      </c>
      <c r="M1021" t="str">
        <f t="shared" si="31"/>
        <v>COVID Period</v>
      </c>
    </row>
    <row r="1022" spans="1:13" x14ac:dyDescent="0.25">
      <c r="A1022" s="2">
        <v>44018</v>
      </c>
      <c r="B1022" t="s">
        <v>39</v>
      </c>
      <c r="C1022">
        <v>29</v>
      </c>
      <c r="D1022" s="3">
        <v>11.88</v>
      </c>
      <c r="E1022" s="3">
        <v>344.52</v>
      </c>
      <c r="F1022">
        <v>39</v>
      </c>
      <c r="G1022">
        <v>13</v>
      </c>
      <c r="H1022" s="4">
        <v>2.1</v>
      </c>
      <c r="I1022" t="s">
        <v>33</v>
      </c>
      <c r="J1022" t="s">
        <v>33</v>
      </c>
      <c r="L1022">
        <f t="shared" si="30"/>
        <v>2020</v>
      </c>
      <c r="M1022" t="str">
        <f t="shared" si="31"/>
        <v>COVID Period</v>
      </c>
    </row>
    <row r="1023" spans="1:13" x14ac:dyDescent="0.25">
      <c r="A1023" s="2">
        <v>44018</v>
      </c>
      <c r="B1023" t="s">
        <v>40</v>
      </c>
      <c r="C1023">
        <v>24</v>
      </c>
      <c r="D1023" s="3">
        <v>0.66</v>
      </c>
      <c r="E1023" s="3">
        <v>15.84</v>
      </c>
      <c r="F1023">
        <v>31</v>
      </c>
      <c r="G1023">
        <v>11</v>
      </c>
      <c r="H1023" s="4">
        <v>4.4000000000000004</v>
      </c>
      <c r="I1023" t="s">
        <v>46</v>
      </c>
      <c r="J1023" t="s">
        <v>33</v>
      </c>
      <c r="K1023" t="s">
        <v>47</v>
      </c>
      <c r="L1023">
        <f t="shared" si="30"/>
        <v>2020</v>
      </c>
      <c r="M1023" t="str">
        <f t="shared" si="31"/>
        <v>COVID Period</v>
      </c>
    </row>
    <row r="1024" spans="1:13" x14ac:dyDescent="0.25">
      <c r="A1024" s="2">
        <v>44018</v>
      </c>
      <c r="B1024" t="s">
        <v>41</v>
      </c>
      <c r="C1024">
        <v>28</v>
      </c>
      <c r="D1024" s="3">
        <v>1.3</v>
      </c>
      <c r="E1024" s="3">
        <v>36.4</v>
      </c>
      <c r="F1024">
        <v>41</v>
      </c>
      <c r="G1024">
        <v>14</v>
      </c>
      <c r="H1024" s="4">
        <v>2.7</v>
      </c>
      <c r="I1024" t="s">
        <v>46</v>
      </c>
      <c r="J1024" t="s">
        <v>33</v>
      </c>
      <c r="K1024" t="s">
        <v>47</v>
      </c>
      <c r="L1024">
        <f t="shared" si="30"/>
        <v>2020</v>
      </c>
      <c r="M1024" t="str">
        <f t="shared" si="31"/>
        <v>COVID Period</v>
      </c>
    </row>
    <row r="1025" spans="1:13" x14ac:dyDescent="0.25">
      <c r="A1025" s="2">
        <v>44018</v>
      </c>
      <c r="B1025" t="s">
        <v>42</v>
      </c>
      <c r="C1025">
        <v>35</v>
      </c>
      <c r="D1025" s="3">
        <v>4.2699999999999996</v>
      </c>
      <c r="E1025" s="3">
        <v>149.44999999999999</v>
      </c>
      <c r="F1025">
        <v>42</v>
      </c>
      <c r="G1025">
        <v>10</v>
      </c>
      <c r="H1025" s="4">
        <v>3.3</v>
      </c>
      <c r="I1025" t="s">
        <v>46</v>
      </c>
      <c r="J1025" t="s">
        <v>33</v>
      </c>
      <c r="K1025" t="s">
        <v>47</v>
      </c>
      <c r="L1025">
        <f t="shared" si="30"/>
        <v>2020</v>
      </c>
      <c r="M1025" t="str">
        <f t="shared" si="31"/>
        <v>COVID Period</v>
      </c>
    </row>
    <row r="1026" spans="1:13" x14ac:dyDescent="0.25">
      <c r="A1026" s="2">
        <v>44018</v>
      </c>
      <c r="B1026" t="s">
        <v>43</v>
      </c>
      <c r="C1026">
        <v>15</v>
      </c>
      <c r="D1026" s="3">
        <v>5.65</v>
      </c>
      <c r="E1026" s="3">
        <v>84.75</v>
      </c>
      <c r="F1026">
        <v>19</v>
      </c>
      <c r="G1026">
        <v>6</v>
      </c>
      <c r="H1026" s="4">
        <v>2.6</v>
      </c>
      <c r="I1026" t="s">
        <v>46</v>
      </c>
      <c r="J1026" t="s">
        <v>33</v>
      </c>
      <c r="L1026">
        <f t="shared" ref="L1026:L1089" si="32">YEAR(A1026)</f>
        <v>2020</v>
      </c>
      <c r="M1026" t="str">
        <f t="shared" ref="M1026:M1089" si="33">IF(L1026=2019,"Pre-COVID","COVID Period")</f>
        <v>COVID Period</v>
      </c>
    </row>
    <row r="1027" spans="1:13" x14ac:dyDescent="0.25">
      <c r="A1027" s="2">
        <v>44018</v>
      </c>
      <c r="B1027" t="s">
        <v>44</v>
      </c>
      <c r="C1027">
        <v>0</v>
      </c>
      <c r="D1027" s="3">
        <v>4.84</v>
      </c>
      <c r="E1027" s="3">
        <v>0</v>
      </c>
      <c r="F1027">
        <v>3</v>
      </c>
      <c r="G1027">
        <v>3</v>
      </c>
      <c r="H1027" s="4">
        <v>2.6</v>
      </c>
      <c r="I1027" t="s">
        <v>33</v>
      </c>
      <c r="J1027" t="s">
        <v>33</v>
      </c>
      <c r="L1027">
        <f t="shared" si="32"/>
        <v>2020</v>
      </c>
      <c r="M1027" t="str">
        <f t="shared" si="33"/>
        <v>COVID Period</v>
      </c>
    </row>
    <row r="1028" spans="1:13" x14ac:dyDescent="0.25">
      <c r="A1028" s="2">
        <v>44018</v>
      </c>
      <c r="B1028" t="s">
        <v>45</v>
      </c>
      <c r="C1028">
        <v>2</v>
      </c>
      <c r="D1028" s="3">
        <v>14.54</v>
      </c>
      <c r="E1028" s="3">
        <v>29.08</v>
      </c>
      <c r="F1028">
        <v>3</v>
      </c>
      <c r="G1028">
        <v>1</v>
      </c>
      <c r="H1028" s="4">
        <v>3.2</v>
      </c>
      <c r="I1028" t="s">
        <v>46</v>
      </c>
      <c r="J1028" t="s">
        <v>46</v>
      </c>
      <c r="L1028">
        <f t="shared" si="32"/>
        <v>2020</v>
      </c>
      <c r="M1028" t="str">
        <f t="shared" si="33"/>
        <v>COVID Period</v>
      </c>
    </row>
    <row r="1029" spans="1:13" x14ac:dyDescent="0.25">
      <c r="A1029" s="2">
        <v>44025</v>
      </c>
      <c r="B1029" t="s">
        <v>32</v>
      </c>
      <c r="C1029">
        <v>25</v>
      </c>
      <c r="D1029" s="3">
        <v>6.63</v>
      </c>
      <c r="E1029" s="3">
        <v>165.75</v>
      </c>
      <c r="F1029">
        <v>32</v>
      </c>
      <c r="G1029">
        <v>10</v>
      </c>
      <c r="H1029" s="4">
        <v>0.9</v>
      </c>
      <c r="I1029" t="s">
        <v>33</v>
      </c>
      <c r="J1029" t="s">
        <v>33</v>
      </c>
      <c r="L1029">
        <f t="shared" si="32"/>
        <v>2020</v>
      </c>
      <c r="M1029" t="str">
        <f t="shared" si="33"/>
        <v>COVID Period</v>
      </c>
    </row>
    <row r="1030" spans="1:13" x14ac:dyDescent="0.25">
      <c r="A1030" s="2">
        <v>44025</v>
      </c>
      <c r="B1030" t="s">
        <v>34</v>
      </c>
      <c r="C1030">
        <v>14</v>
      </c>
      <c r="D1030" s="3">
        <v>6.85</v>
      </c>
      <c r="E1030" s="3">
        <v>95.9</v>
      </c>
      <c r="F1030">
        <v>19</v>
      </c>
      <c r="G1030">
        <v>5</v>
      </c>
      <c r="H1030" s="4">
        <v>0.6</v>
      </c>
      <c r="I1030" t="s">
        <v>33</v>
      </c>
      <c r="J1030" t="s">
        <v>33</v>
      </c>
      <c r="L1030">
        <f t="shared" si="32"/>
        <v>2020</v>
      </c>
      <c r="M1030" t="str">
        <f t="shared" si="33"/>
        <v>COVID Period</v>
      </c>
    </row>
    <row r="1031" spans="1:13" x14ac:dyDescent="0.25">
      <c r="A1031" s="2">
        <v>44025</v>
      </c>
      <c r="B1031" t="s">
        <v>35</v>
      </c>
      <c r="C1031">
        <v>9</v>
      </c>
      <c r="D1031" s="3">
        <v>6.16</v>
      </c>
      <c r="E1031" s="3">
        <v>55.44</v>
      </c>
      <c r="F1031">
        <v>9</v>
      </c>
      <c r="G1031">
        <v>2</v>
      </c>
      <c r="H1031" s="4">
        <v>0.3</v>
      </c>
      <c r="I1031" t="s">
        <v>33</v>
      </c>
      <c r="J1031" t="s">
        <v>33</v>
      </c>
      <c r="L1031">
        <f t="shared" si="32"/>
        <v>2020</v>
      </c>
      <c r="M1031" t="str">
        <f t="shared" si="33"/>
        <v>COVID Period</v>
      </c>
    </row>
    <row r="1032" spans="1:13" x14ac:dyDescent="0.25">
      <c r="A1032" s="2">
        <v>44025</v>
      </c>
      <c r="B1032" t="s">
        <v>36</v>
      </c>
      <c r="C1032">
        <v>12</v>
      </c>
      <c r="D1032" s="3">
        <v>5.97</v>
      </c>
      <c r="E1032" s="3">
        <v>71.64</v>
      </c>
      <c r="F1032">
        <v>19</v>
      </c>
      <c r="G1032">
        <v>9</v>
      </c>
      <c r="H1032" s="4">
        <v>0.9</v>
      </c>
      <c r="I1032" t="s">
        <v>33</v>
      </c>
      <c r="J1032" t="s">
        <v>33</v>
      </c>
      <c r="L1032">
        <f t="shared" si="32"/>
        <v>2020</v>
      </c>
      <c r="M1032" t="str">
        <f t="shared" si="33"/>
        <v>COVID Period</v>
      </c>
    </row>
    <row r="1033" spans="1:13" x14ac:dyDescent="0.25">
      <c r="A1033" s="2">
        <v>44025</v>
      </c>
      <c r="B1033" t="s">
        <v>37</v>
      </c>
      <c r="C1033">
        <v>21</v>
      </c>
      <c r="D1033" s="3">
        <v>3.11</v>
      </c>
      <c r="E1033" s="3">
        <v>65.31</v>
      </c>
      <c r="F1033">
        <v>22</v>
      </c>
      <c r="G1033">
        <v>3</v>
      </c>
      <c r="H1033" s="4">
        <v>1.5</v>
      </c>
      <c r="I1033" t="s">
        <v>33</v>
      </c>
      <c r="J1033" t="s">
        <v>33</v>
      </c>
      <c r="L1033">
        <f t="shared" si="32"/>
        <v>2020</v>
      </c>
      <c r="M1033" t="str">
        <f t="shared" si="33"/>
        <v>COVID Period</v>
      </c>
    </row>
    <row r="1034" spans="1:13" x14ac:dyDescent="0.25">
      <c r="A1034" s="2">
        <v>44025</v>
      </c>
      <c r="B1034" t="s">
        <v>38</v>
      </c>
      <c r="C1034">
        <v>18</v>
      </c>
      <c r="D1034" s="3">
        <v>8.39</v>
      </c>
      <c r="E1034" s="3">
        <v>151.02000000000001</v>
      </c>
      <c r="F1034">
        <v>24</v>
      </c>
      <c r="G1034">
        <v>7</v>
      </c>
      <c r="H1034" s="4">
        <v>1.2</v>
      </c>
      <c r="I1034" t="s">
        <v>33</v>
      </c>
      <c r="J1034" t="s">
        <v>33</v>
      </c>
      <c r="L1034">
        <f t="shared" si="32"/>
        <v>2020</v>
      </c>
      <c r="M1034" t="str">
        <f t="shared" si="33"/>
        <v>COVID Period</v>
      </c>
    </row>
    <row r="1035" spans="1:13" x14ac:dyDescent="0.25">
      <c r="A1035" s="2">
        <v>44025</v>
      </c>
      <c r="B1035" t="s">
        <v>39</v>
      </c>
      <c r="C1035">
        <v>21</v>
      </c>
      <c r="D1035" s="3">
        <v>12.01</v>
      </c>
      <c r="E1035" s="3">
        <v>252.21</v>
      </c>
      <c r="F1035">
        <v>26</v>
      </c>
      <c r="G1035">
        <v>8</v>
      </c>
      <c r="H1035" s="4">
        <v>3.4</v>
      </c>
      <c r="I1035" t="s">
        <v>33</v>
      </c>
      <c r="J1035" t="s">
        <v>33</v>
      </c>
      <c r="L1035">
        <f t="shared" si="32"/>
        <v>2020</v>
      </c>
      <c r="M1035" t="str">
        <f t="shared" si="33"/>
        <v>COVID Period</v>
      </c>
    </row>
    <row r="1036" spans="1:13" x14ac:dyDescent="0.25">
      <c r="A1036" s="2">
        <v>44025</v>
      </c>
      <c r="B1036" t="s">
        <v>40</v>
      </c>
      <c r="C1036">
        <v>44</v>
      </c>
      <c r="D1036" s="3">
        <v>0.67</v>
      </c>
      <c r="E1036" s="3">
        <v>29.48</v>
      </c>
      <c r="F1036">
        <v>69</v>
      </c>
      <c r="G1036">
        <v>36</v>
      </c>
      <c r="H1036" s="4">
        <v>2.9</v>
      </c>
      <c r="I1036" t="s">
        <v>46</v>
      </c>
      <c r="J1036" t="s">
        <v>33</v>
      </c>
      <c r="K1036" t="s">
        <v>47</v>
      </c>
      <c r="L1036">
        <f t="shared" si="32"/>
        <v>2020</v>
      </c>
      <c r="M1036" t="str">
        <f t="shared" si="33"/>
        <v>COVID Period</v>
      </c>
    </row>
    <row r="1037" spans="1:13" x14ac:dyDescent="0.25">
      <c r="A1037" s="2">
        <v>44025</v>
      </c>
      <c r="B1037" t="s">
        <v>41</v>
      </c>
      <c r="C1037">
        <v>34</v>
      </c>
      <c r="D1037" s="3">
        <v>1.35</v>
      </c>
      <c r="E1037" s="3">
        <v>45.9</v>
      </c>
      <c r="F1037">
        <v>48</v>
      </c>
      <c r="G1037">
        <v>21</v>
      </c>
      <c r="H1037" s="4">
        <v>4.3</v>
      </c>
      <c r="I1037" t="s">
        <v>46</v>
      </c>
      <c r="J1037" t="s">
        <v>33</v>
      </c>
      <c r="K1037" t="s">
        <v>47</v>
      </c>
      <c r="L1037">
        <f t="shared" si="32"/>
        <v>2020</v>
      </c>
      <c r="M1037" t="str">
        <f t="shared" si="33"/>
        <v>COVID Period</v>
      </c>
    </row>
    <row r="1038" spans="1:13" x14ac:dyDescent="0.25">
      <c r="A1038" s="2">
        <v>44025</v>
      </c>
      <c r="B1038" t="s">
        <v>42</v>
      </c>
      <c r="C1038">
        <v>42</v>
      </c>
      <c r="D1038" s="3">
        <v>4.25</v>
      </c>
      <c r="E1038" s="3">
        <v>178.5</v>
      </c>
      <c r="F1038">
        <v>47</v>
      </c>
      <c r="G1038">
        <v>13</v>
      </c>
      <c r="H1038" s="4">
        <v>4.7</v>
      </c>
      <c r="I1038" t="s">
        <v>46</v>
      </c>
      <c r="J1038" t="s">
        <v>33</v>
      </c>
      <c r="K1038" t="s">
        <v>47</v>
      </c>
      <c r="L1038">
        <f t="shared" si="32"/>
        <v>2020</v>
      </c>
      <c r="M1038" t="str">
        <f t="shared" si="33"/>
        <v>COVID Period</v>
      </c>
    </row>
    <row r="1039" spans="1:13" x14ac:dyDescent="0.25">
      <c r="A1039" s="2">
        <v>44025</v>
      </c>
      <c r="B1039" t="s">
        <v>43</v>
      </c>
      <c r="C1039">
        <v>23</v>
      </c>
      <c r="D1039" s="3">
        <v>5.43</v>
      </c>
      <c r="E1039" s="3">
        <v>124.89</v>
      </c>
      <c r="F1039">
        <v>35</v>
      </c>
      <c r="G1039">
        <v>14</v>
      </c>
      <c r="H1039" s="4">
        <v>4.8</v>
      </c>
      <c r="I1039" t="s">
        <v>46</v>
      </c>
      <c r="J1039" t="s">
        <v>33</v>
      </c>
      <c r="L1039">
        <f t="shared" si="32"/>
        <v>2020</v>
      </c>
      <c r="M1039" t="str">
        <f t="shared" si="33"/>
        <v>COVID Period</v>
      </c>
    </row>
    <row r="1040" spans="1:13" x14ac:dyDescent="0.25">
      <c r="A1040" s="2">
        <v>44025</v>
      </c>
      <c r="B1040" t="s">
        <v>44</v>
      </c>
      <c r="C1040">
        <v>0</v>
      </c>
      <c r="D1040" s="3">
        <v>4.66</v>
      </c>
      <c r="E1040" s="3">
        <v>0</v>
      </c>
      <c r="F1040">
        <v>3</v>
      </c>
      <c r="G1040">
        <v>3</v>
      </c>
      <c r="H1040" s="4">
        <v>3.2</v>
      </c>
      <c r="I1040" t="s">
        <v>33</v>
      </c>
      <c r="J1040" t="s">
        <v>33</v>
      </c>
      <c r="L1040">
        <f t="shared" si="32"/>
        <v>2020</v>
      </c>
      <c r="M1040" t="str">
        <f t="shared" si="33"/>
        <v>COVID Period</v>
      </c>
    </row>
    <row r="1041" spans="1:13" x14ac:dyDescent="0.25">
      <c r="A1041" s="2">
        <v>44025</v>
      </c>
      <c r="B1041" t="s">
        <v>45</v>
      </c>
      <c r="C1041">
        <v>0</v>
      </c>
      <c r="D1041" s="3">
        <v>15.15</v>
      </c>
      <c r="E1041" s="3">
        <v>0</v>
      </c>
      <c r="F1041">
        <v>3</v>
      </c>
      <c r="G1041">
        <v>3</v>
      </c>
      <c r="H1041" s="4">
        <v>2.2000000000000002</v>
      </c>
      <c r="I1041" t="s">
        <v>33</v>
      </c>
      <c r="J1041" t="s">
        <v>33</v>
      </c>
      <c r="L1041">
        <f t="shared" si="32"/>
        <v>2020</v>
      </c>
      <c r="M1041" t="str">
        <f t="shared" si="33"/>
        <v>COVID Period</v>
      </c>
    </row>
    <row r="1042" spans="1:13" x14ac:dyDescent="0.25">
      <c r="A1042" s="2">
        <v>44032</v>
      </c>
      <c r="B1042" t="s">
        <v>32</v>
      </c>
      <c r="C1042">
        <v>16</v>
      </c>
      <c r="D1042" s="3">
        <v>6.71</v>
      </c>
      <c r="E1042" s="3">
        <v>107.36</v>
      </c>
      <c r="F1042">
        <v>25</v>
      </c>
      <c r="G1042">
        <v>13</v>
      </c>
      <c r="H1042" s="4">
        <v>3.1</v>
      </c>
      <c r="I1042" t="s">
        <v>33</v>
      </c>
      <c r="J1042" t="s">
        <v>33</v>
      </c>
      <c r="L1042">
        <f t="shared" si="32"/>
        <v>2020</v>
      </c>
      <c r="M1042" t="str">
        <f t="shared" si="33"/>
        <v>COVID Period</v>
      </c>
    </row>
    <row r="1043" spans="1:13" x14ac:dyDescent="0.25">
      <c r="A1043" s="2">
        <v>44032</v>
      </c>
      <c r="B1043" t="s">
        <v>34</v>
      </c>
      <c r="C1043">
        <v>15</v>
      </c>
      <c r="D1043" s="3">
        <v>7.18</v>
      </c>
      <c r="E1043" s="3">
        <v>107.7</v>
      </c>
      <c r="F1043">
        <v>18</v>
      </c>
      <c r="G1043">
        <v>3</v>
      </c>
      <c r="H1043" s="4">
        <v>1.7</v>
      </c>
      <c r="I1043" t="s">
        <v>33</v>
      </c>
      <c r="J1043" t="s">
        <v>33</v>
      </c>
      <c r="L1043">
        <f t="shared" si="32"/>
        <v>2020</v>
      </c>
      <c r="M1043" t="str">
        <f t="shared" si="33"/>
        <v>COVID Period</v>
      </c>
    </row>
    <row r="1044" spans="1:13" x14ac:dyDescent="0.25">
      <c r="A1044" s="2">
        <v>44032</v>
      </c>
      <c r="B1044" t="s">
        <v>35</v>
      </c>
      <c r="C1044">
        <v>12</v>
      </c>
      <c r="D1044" s="3">
        <v>6.11</v>
      </c>
      <c r="E1044" s="3">
        <v>73.319999999999993</v>
      </c>
      <c r="F1044">
        <v>15</v>
      </c>
      <c r="G1044">
        <v>5</v>
      </c>
      <c r="H1044" s="4">
        <v>1.9</v>
      </c>
      <c r="I1044" t="s">
        <v>33</v>
      </c>
      <c r="J1044" t="s">
        <v>33</v>
      </c>
      <c r="L1044">
        <f t="shared" si="32"/>
        <v>2020</v>
      </c>
      <c r="M1044" t="str">
        <f t="shared" si="33"/>
        <v>COVID Period</v>
      </c>
    </row>
    <row r="1045" spans="1:13" x14ac:dyDescent="0.25">
      <c r="A1045" s="2">
        <v>44032</v>
      </c>
      <c r="B1045" t="s">
        <v>36</v>
      </c>
      <c r="C1045">
        <v>9</v>
      </c>
      <c r="D1045" s="3">
        <v>5.99</v>
      </c>
      <c r="E1045" s="3">
        <v>53.91</v>
      </c>
      <c r="F1045">
        <v>12</v>
      </c>
      <c r="G1045">
        <v>3</v>
      </c>
      <c r="H1045" s="4">
        <v>1.6</v>
      </c>
      <c r="I1045" t="s">
        <v>33</v>
      </c>
      <c r="J1045" t="s">
        <v>33</v>
      </c>
      <c r="L1045">
        <f t="shared" si="32"/>
        <v>2020</v>
      </c>
      <c r="M1045" t="str">
        <f t="shared" si="33"/>
        <v>COVID Period</v>
      </c>
    </row>
    <row r="1046" spans="1:13" x14ac:dyDescent="0.25">
      <c r="A1046" s="2">
        <v>44032</v>
      </c>
      <c r="B1046" t="s">
        <v>37</v>
      </c>
      <c r="C1046">
        <v>19</v>
      </c>
      <c r="D1046" s="3">
        <v>3.19</v>
      </c>
      <c r="E1046" s="3">
        <v>60.61</v>
      </c>
      <c r="F1046">
        <v>30</v>
      </c>
      <c r="G1046">
        <v>15</v>
      </c>
      <c r="H1046" s="4">
        <v>1.5</v>
      </c>
      <c r="I1046" t="s">
        <v>33</v>
      </c>
      <c r="J1046" t="s">
        <v>33</v>
      </c>
      <c r="L1046">
        <f t="shared" si="32"/>
        <v>2020</v>
      </c>
      <c r="M1046" t="str">
        <f t="shared" si="33"/>
        <v>COVID Period</v>
      </c>
    </row>
    <row r="1047" spans="1:13" x14ac:dyDescent="0.25">
      <c r="A1047" s="2">
        <v>44032</v>
      </c>
      <c r="B1047" t="s">
        <v>38</v>
      </c>
      <c r="C1047">
        <v>10</v>
      </c>
      <c r="D1047" s="3">
        <v>8.49</v>
      </c>
      <c r="E1047" s="3">
        <v>84.9</v>
      </c>
      <c r="F1047">
        <v>12</v>
      </c>
      <c r="G1047">
        <v>3</v>
      </c>
      <c r="H1047" s="4">
        <v>2.6</v>
      </c>
      <c r="I1047" t="s">
        <v>33</v>
      </c>
      <c r="J1047" t="s">
        <v>33</v>
      </c>
      <c r="L1047">
        <f t="shared" si="32"/>
        <v>2020</v>
      </c>
      <c r="M1047" t="str">
        <f t="shared" si="33"/>
        <v>COVID Period</v>
      </c>
    </row>
    <row r="1048" spans="1:13" x14ac:dyDescent="0.25">
      <c r="A1048" s="2">
        <v>44032</v>
      </c>
      <c r="B1048" t="s">
        <v>39</v>
      </c>
      <c r="C1048">
        <v>29</v>
      </c>
      <c r="D1048" s="3">
        <v>12.05</v>
      </c>
      <c r="E1048" s="3">
        <v>349.45</v>
      </c>
      <c r="F1048">
        <v>41</v>
      </c>
      <c r="G1048">
        <v>13</v>
      </c>
      <c r="H1048" s="4">
        <v>0.8</v>
      </c>
      <c r="I1048" t="s">
        <v>33</v>
      </c>
      <c r="J1048" t="s">
        <v>33</v>
      </c>
      <c r="L1048">
        <f t="shared" si="32"/>
        <v>2020</v>
      </c>
      <c r="M1048" t="str">
        <f t="shared" si="33"/>
        <v>COVID Period</v>
      </c>
    </row>
    <row r="1049" spans="1:13" x14ac:dyDescent="0.25">
      <c r="A1049" s="2">
        <v>44032</v>
      </c>
      <c r="B1049" t="s">
        <v>40</v>
      </c>
      <c r="C1049">
        <v>51</v>
      </c>
      <c r="D1049" s="3">
        <v>0.65</v>
      </c>
      <c r="E1049" s="3">
        <v>33.15</v>
      </c>
      <c r="F1049">
        <v>66</v>
      </c>
      <c r="G1049">
        <v>15</v>
      </c>
      <c r="H1049" s="4">
        <v>5.2</v>
      </c>
      <c r="I1049" t="s">
        <v>46</v>
      </c>
      <c r="J1049" t="s">
        <v>33</v>
      </c>
      <c r="K1049" t="s">
        <v>47</v>
      </c>
      <c r="L1049">
        <f t="shared" si="32"/>
        <v>2020</v>
      </c>
      <c r="M1049" t="str">
        <f t="shared" si="33"/>
        <v>COVID Period</v>
      </c>
    </row>
    <row r="1050" spans="1:13" x14ac:dyDescent="0.25">
      <c r="A1050" s="2">
        <v>44032</v>
      </c>
      <c r="B1050" t="s">
        <v>41</v>
      </c>
      <c r="C1050">
        <v>34</v>
      </c>
      <c r="D1050" s="3">
        <v>1.31</v>
      </c>
      <c r="E1050" s="3">
        <v>44.54</v>
      </c>
      <c r="F1050">
        <v>45</v>
      </c>
      <c r="G1050">
        <v>11</v>
      </c>
      <c r="H1050" s="4">
        <v>1.3</v>
      </c>
      <c r="I1050" t="s">
        <v>46</v>
      </c>
      <c r="J1050" t="s">
        <v>33</v>
      </c>
      <c r="K1050" t="s">
        <v>47</v>
      </c>
      <c r="L1050">
        <f t="shared" si="32"/>
        <v>2020</v>
      </c>
      <c r="M1050" t="str">
        <f t="shared" si="33"/>
        <v>COVID Period</v>
      </c>
    </row>
    <row r="1051" spans="1:13" x14ac:dyDescent="0.25">
      <c r="A1051" s="2">
        <v>44032</v>
      </c>
      <c r="B1051" t="s">
        <v>42</v>
      </c>
      <c r="C1051">
        <v>42</v>
      </c>
      <c r="D1051" s="3">
        <v>4.24</v>
      </c>
      <c r="E1051" s="3">
        <v>178.08</v>
      </c>
      <c r="F1051">
        <v>64</v>
      </c>
      <c r="G1051">
        <v>31</v>
      </c>
      <c r="H1051" s="4">
        <v>4.7</v>
      </c>
      <c r="I1051" t="s">
        <v>46</v>
      </c>
      <c r="J1051" t="s">
        <v>33</v>
      </c>
      <c r="K1051" t="s">
        <v>47</v>
      </c>
      <c r="L1051">
        <f t="shared" si="32"/>
        <v>2020</v>
      </c>
      <c r="M1051" t="str">
        <f t="shared" si="33"/>
        <v>COVID Period</v>
      </c>
    </row>
    <row r="1052" spans="1:13" x14ac:dyDescent="0.25">
      <c r="A1052" s="2">
        <v>44032</v>
      </c>
      <c r="B1052" t="s">
        <v>43</v>
      </c>
      <c r="C1052">
        <v>18</v>
      </c>
      <c r="D1052" s="3">
        <v>5.34</v>
      </c>
      <c r="E1052" s="3">
        <v>96.12</v>
      </c>
      <c r="F1052">
        <v>26</v>
      </c>
      <c r="G1052">
        <v>9</v>
      </c>
      <c r="H1052" s="4">
        <v>2.6</v>
      </c>
      <c r="I1052" t="s">
        <v>46</v>
      </c>
      <c r="J1052" t="s">
        <v>33</v>
      </c>
      <c r="L1052">
        <f t="shared" si="32"/>
        <v>2020</v>
      </c>
      <c r="M1052" t="str">
        <f t="shared" si="33"/>
        <v>COVID Period</v>
      </c>
    </row>
    <row r="1053" spans="1:13" x14ac:dyDescent="0.25">
      <c r="A1053" s="2">
        <v>44032</v>
      </c>
      <c r="B1053" t="s">
        <v>44</v>
      </c>
      <c r="C1053">
        <v>0</v>
      </c>
      <c r="D1053" s="3">
        <v>4.9000000000000004</v>
      </c>
      <c r="E1053" s="3">
        <v>0</v>
      </c>
      <c r="F1053">
        <v>3</v>
      </c>
      <c r="G1053">
        <v>3</v>
      </c>
      <c r="H1053" s="4">
        <v>2.2000000000000002</v>
      </c>
      <c r="I1053" t="s">
        <v>33</v>
      </c>
      <c r="J1053" t="s">
        <v>33</v>
      </c>
      <c r="L1053">
        <f t="shared" si="32"/>
        <v>2020</v>
      </c>
      <c r="M1053" t="str">
        <f t="shared" si="33"/>
        <v>COVID Period</v>
      </c>
    </row>
    <row r="1054" spans="1:13" x14ac:dyDescent="0.25">
      <c r="A1054" s="2">
        <v>44032</v>
      </c>
      <c r="B1054" t="s">
        <v>45</v>
      </c>
      <c r="C1054">
        <v>0</v>
      </c>
      <c r="D1054" s="3">
        <v>15</v>
      </c>
      <c r="E1054" s="3">
        <v>0</v>
      </c>
      <c r="F1054">
        <v>3</v>
      </c>
      <c r="G1054">
        <v>3</v>
      </c>
      <c r="H1054" s="4">
        <v>2.2000000000000002</v>
      </c>
      <c r="I1054" t="s">
        <v>33</v>
      </c>
      <c r="J1054" t="s">
        <v>33</v>
      </c>
      <c r="L1054">
        <f t="shared" si="32"/>
        <v>2020</v>
      </c>
      <c r="M1054" t="str">
        <f t="shared" si="33"/>
        <v>COVID Period</v>
      </c>
    </row>
    <row r="1055" spans="1:13" x14ac:dyDescent="0.25">
      <c r="A1055" s="2">
        <v>44039</v>
      </c>
      <c r="B1055" t="s">
        <v>32</v>
      </c>
      <c r="C1055">
        <v>18</v>
      </c>
      <c r="D1055" s="3">
        <v>6.69</v>
      </c>
      <c r="E1055" s="3">
        <v>120.42</v>
      </c>
      <c r="F1055">
        <v>20</v>
      </c>
      <c r="G1055">
        <v>3</v>
      </c>
      <c r="H1055" s="4">
        <v>0.4</v>
      </c>
      <c r="I1055" t="s">
        <v>33</v>
      </c>
      <c r="J1055" t="s">
        <v>33</v>
      </c>
      <c r="L1055">
        <f t="shared" si="32"/>
        <v>2020</v>
      </c>
      <c r="M1055" t="str">
        <f t="shared" si="33"/>
        <v>COVID Period</v>
      </c>
    </row>
    <row r="1056" spans="1:13" x14ac:dyDescent="0.25">
      <c r="A1056" s="2">
        <v>44039</v>
      </c>
      <c r="B1056" t="s">
        <v>34</v>
      </c>
      <c r="C1056">
        <v>16</v>
      </c>
      <c r="D1056" s="3">
        <v>6.83</v>
      </c>
      <c r="E1056" s="3">
        <v>109.28</v>
      </c>
      <c r="F1056">
        <v>23</v>
      </c>
      <c r="G1056">
        <v>8</v>
      </c>
      <c r="H1056" s="4">
        <v>1.4</v>
      </c>
      <c r="I1056" t="s">
        <v>33</v>
      </c>
      <c r="J1056" t="s">
        <v>33</v>
      </c>
      <c r="L1056">
        <f t="shared" si="32"/>
        <v>2020</v>
      </c>
      <c r="M1056" t="str">
        <f t="shared" si="33"/>
        <v>COVID Period</v>
      </c>
    </row>
    <row r="1057" spans="1:13" x14ac:dyDescent="0.25">
      <c r="A1057" s="2">
        <v>44039</v>
      </c>
      <c r="B1057" t="s">
        <v>35</v>
      </c>
      <c r="C1057">
        <v>9</v>
      </c>
      <c r="D1057" s="3">
        <v>5.74</v>
      </c>
      <c r="E1057" s="3">
        <v>51.66</v>
      </c>
      <c r="F1057">
        <v>11</v>
      </c>
      <c r="G1057">
        <v>3</v>
      </c>
      <c r="H1057" s="4">
        <v>3</v>
      </c>
      <c r="I1057" t="s">
        <v>33</v>
      </c>
      <c r="J1057" t="s">
        <v>33</v>
      </c>
      <c r="L1057">
        <f t="shared" si="32"/>
        <v>2020</v>
      </c>
      <c r="M1057" t="str">
        <f t="shared" si="33"/>
        <v>COVID Period</v>
      </c>
    </row>
    <row r="1058" spans="1:13" x14ac:dyDescent="0.25">
      <c r="A1058" s="2">
        <v>44039</v>
      </c>
      <c r="B1058" t="s">
        <v>36</v>
      </c>
      <c r="C1058">
        <v>12</v>
      </c>
      <c r="D1058" s="3">
        <v>6.47</v>
      </c>
      <c r="E1058" s="3">
        <v>77.64</v>
      </c>
      <c r="F1058">
        <v>17</v>
      </c>
      <c r="G1058">
        <v>7</v>
      </c>
      <c r="H1058" s="4">
        <v>1.8</v>
      </c>
      <c r="I1058" t="s">
        <v>33</v>
      </c>
      <c r="J1058" t="s">
        <v>33</v>
      </c>
      <c r="L1058">
        <f t="shared" si="32"/>
        <v>2020</v>
      </c>
      <c r="M1058" t="str">
        <f t="shared" si="33"/>
        <v>COVID Period</v>
      </c>
    </row>
    <row r="1059" spans="1:13" x14ac:dyDescent="0.25">
      <c r="A1059" s="2">
        <v>44039</v>
      </c>
      <c r="B1059" t="s">
        <v>37</v>
      </c>
      <c r="C1059">
        <v>24</v>
      </c>
      <c r="D1059" s="3">
        <v>3.17</v>
      </c>
      <c r="E1059" s="3">
        <v>76.08</v>
      </c>
      <c r="F1059">
        <v>34</v>
      </c>
      <c r="G1059">
        <v>11</v>
      </c>
      <c r="H1059" s="4">
        <v>1.2</v>
      </c>
      <c r="I1059" t="s">
        <v>33</v>
      </c>
      <c r="J1059" t="s">
        <v>33</v>
      </c>
      <c r="L1059">
        <f t="shared" si="32"/>
        <v>2020</v>
      </c>
      <c r="M1059" t="str">
        <f t="shared" si="33"/>
        <v>COVID Period</v>
      </c>
    </row>
    <row r="1060" spans="1:13" x14ac:dyDescent="0.25">
      <c r="A1060" s="2">
        <v>44039</v>
      </c>
      <c r="B1060" t="s">
        <v>38</v>
      </c>
      <c r="C1060">
        <v>12</v>
      </c>
      <c r="D1060" s="3">
        <v>8.5500000000000007</v>
      </c>
      <c r="E1060" s="3">
        <v>102.6</v>
      </c>
      <c r="F1060">
        <v>14</v>
      </c>
      <c r="G1060">
        <v>4</v>
      </c>
      <c r="H1060" s="4">
        <v>2.8</v>
      </c>
      <c r="I1060" t="s">
        <v>33</v>
      </c>
      <c r="J1060" t="s">
        <v>33</v>
      </c>
      <c r="L1060">
        <f t="shared" si="32"/>
        <v>2020</v>
      </c>
      <c r="M1060" t="str">
        <f t="shared" si="33"/>
        <v>COVID Period</v>
      </c>
    </row>
    <row r="1061" spans="1:13" x14ac:dyDescent="0.25">
      <c r="A1061" s="2">
        <v>44039</v>
      </c>
      <c r="B1061" t="s">
        <v>39</v>
      </c>
      <c r="C1061">
        <v>25</v>
      </c>
      <c r="D1061" s="3">
        <v>11.14</v>
      </c>
      <c r="E1061" s="3">
        <v>278.5</v>
      </c>
      <c r="F1061">
        <v>32</v>
      </c>
      <c r="G1061">
        <v>10</v>
      </c>
      <c r="H1061" s="4">
        <v>0.9</v>
      </c>
      <c r="I1061" t="s">
        <v>33</v>
      </c>
      <c r="J1061" t="s">
        <v>33</v>
      </c>
      <c r="L1061">
        <f t="shared" si="32"/>
        <v>2020</v>
      </c>
      <c r="M1061" t="str">
        <f t="shared" si="33"/>
        <v>COVID Period</v>
      </c>
    </row>
    <row r="1062" spans="1:13" x14ac:dyDescent="0.25">
      <c r="A1062" s="2">
        <v>44039</v>
      </c>
      <c r="B1062" t="s">
        <v>40</v>
      </c>
      <c r="C1062">
        <v>37</v>
      </c>
      <c r="D1062" s="3">
        <v>0.63</v>
      </c>
      <c r="E1062" s="3">
        <v>23.31</v>
      </c>
      <c r="F1062">
        <v>48</v>
      </c>
      <c r="G1062">
        <v>14</v>
      </c>
      <c r="H1062" s="4">
        <v>6.8</v>
      </c>
      <c r="I1062" t="s">
        <v>46</v>
      </c>
      <c r="J1062" t="s">
        <v>33</v>
      </c>
      <c r="K1062" t="s">
        <v>47</v>
      </c>
      <c r="L1062">
        <f t="shared" si="32"/>
        <v>2020</v>
      </c>
      <c r="M1062" t="str">
        <f t="shared" si="33"/>
        <v>COVID Period</v>
      </c>
    </row>
    <row r="1063" spans="1:13" x14ac:dyDescent="0.25">
      <c r="A1063" s="2">
        <v>44039</v>
      </c>
      <c r="B1063" t="s">
        <v>41</v>
      </c>
      <c r="C1063">
        <v>22</v>
      </c>
      <c r="D1063" s="3">
        <v>1.34</v>
      </c>
      <c r="E1063" s="3">
        <v>29.48</v>
      </c>
      <c r="F1063">
        <v>26</v>
      </c>
      <c r="G1063">
        <v>8</v>
      </c>
      <c r="H1063" s="4">
        <v>2.7</v>
      </c>
      <c r="I1063" t="s">
        <v>46</v>
      </c>
      <c r="J1063" t="s">
        <v>33</v>
      </c>
      <c r="K1063" t="s">
        <v>47</v>
      </c>
      <c r="L1063">
        <f t="shared" si="32"/>
        <v>2020</v>
      </c>
      <c r="M1063" t="str">
        <f t="shared" si="33"/>
        <v>COVID Period</v>
      </c>
    </row>
    <row r="1064" spans="1:13" x14ac:dyDescent="0.25">
      <c r="A1064" s="2">
        <v>44039</v>
      </c>
      <c r="B1064" t="s">
        <v>42</v>
      </c>
      <c r="C1064">
        <v>38</v>
      </c>
      <c r="D1064" s="3">
        <v>4.05</v>
      </c>
      <c r="E1064" s="3">
        <v>153.9</v>
      </c>
      <c r="F1064">
        <v>41</v>
      </c>
      <c r="G1064">
        <v>4</v>
      </c>
      <c r="H1064" s="4">
        <v>4</v>
      </c>
      <c r="I1064" t="s">
        <v>46</v>
      </c>
      <c r="J1064" t="s">
        <v>33</v>
      </c>
      <c r="K1064" t="s">
        <v>47</v>
      </c>
      <c r="L1064">
        <f t="shared" si="32"/>
        <v>2020</v>
      </c>
      <c r="M1064" t="str">
        <f t="shared" si="33"/>
        <v>COVID Period</v>
      </c>
    </row>
    <row r="1065" spans="1:13" x14ac:dyDescent="0.25">
      <c r="A1065" s="2">
        <v>44039</v>
      </c>
      <c r="B1065" t="s">
        <v>43</v>
      </c>
      <c r="C1065">
        <v>22</v>
      </c>
      <c r="D1065" s="3">
        <v>5.66</v>
      </c>
      <c r="E1065" s="3">
        <v>124.52</v>
      </c>
      <c r="F1065">
        <v>23</v>
      </c>
      <c r="G1065">
        <v>2</v>
      </c>
      <c r="H1065" s="4">
        <v>2.5</v>
      </c>
      <c r="I1065" t="s">
        <v>46</v>
      </c>
      <c r="J1065" t="s">
        <v>33</v>
      </c>
      <c r="L1065">
        <f t="shared" si="32"/>
        <v>2020</v>
      </c>
      <c r="M1065" t="str">
        <f t="shared" si="33"/>
        <v>COVID Period</v>
      </c>
    </row>
    <row r="1066" spans="1:13" x14ac:dyDescent="0.25">
      <c r="A1066" s="2">
        <v>44039</v>
      </c>
      <c r="B1066" t="s">
        <v>44</v>
      </c>
      <c r="C1066">
        <v>0</v>
      </c>
      <c r="D1066" s="3">
        <v>4.8499999999999996</v>
      </c>
      <c r="E1066" s="3">
        <v>0</v>
      </c>
      <c r="F1066">
        <v>3</v>
      </c>
      <c r="G1066">
        <v>4</v>
      </c>
      <c r="H1066" s="4">
        <v>1.9</v>
      </c>
      <c r="I1066" t="s">
        <v>33</v>
      </c>
      <c r="J1066" t="s">
        <v>33</v>
      </c>
      <c r="L1066">
        <f t="shared" si="32"/>
        <v>2020</v>
      </c>
      <c r="M1066" t="str">
        <f t="shared" si="33"/>
        <v>COVID Period</v>
      </c>
    </row>
    <row r="1067" spans="1:13" x14ac:dyDescent="0.25">
      <c r="A1067" s="2">
        <v>44039</v>
      </c>
      <c r="B1067" t="s">
        <v>45</v>
      </c>
      <c r="C1067">
        <v>0</v>
      </c>
      <c r="D1067" s="3">
        <v>15.25</v>
      </c>
      <c r="E1067" s="3">
        <v>0</v>
      </c>
      <c r="F1067">
        <v>3</v>
      </c>
      <c r="G1067">
        <v>3</v>
      </c>
      <c r="H1067" s="4">
        <v>2.5</v>
      </c>
      <c r="I1067" t="s">
        <v>33</v>
      </c>
      <c r="J1067" t="s">
        <v>33</v>
      </c>
      <c r="L1067">
        <f t="shared" si="32"/>
        <v>2020</v>
      </c>
      <c r="M1067" t="str">
        <f t="shared" si="33"/>
        <v>COVID Period</v>
      </c>
    </row>
    <row r="1068" spans="1:13" x14ac:dyDescent="0.25">
      <c r="A1068" s="2">
        <v>44046</v>
      </c>
      <c r="B1068" t="s">
        <v>32</v>
      </c>
      <c r="C1068">
        <v>22</v>
      </c>
      <c r="D1068" s="3">
        <v>7.01</v>
      </c>
      <c r="E1068" s="3">
        <v>154.22</v>
      </c>
      <c r="F1068">
        <v>26</v>
      </c>
      <c r="G1068">
        <v>9</v>
      </c>
      <c r="H1068" s="4">
        <v>1.8</v>
      </c>
      <c r="I1068" t="s">
        <v>33</v>
      </c>
      <c r="J1068" t="s">
        <v>33</v>
      </c>
      <c r="L1068">
        <f t="shared" si="32"/>
        <v>2020</v>
      </c>
      <c r="M1068" t="str">
        <f t="shared" si="33"/>
        <v>COVID Period</v>
      </c>
    </row>
    <row r="1069" spans="1:13" x14ac:dyDescent="0.25">
      <c r="A1069" s="2">
        <v>44046</v>
      </c>
      <c r="B1069" t="s">
        <v>34</v>
      </c>
      <c r="C1069">
        <v>17</v>
      </c>
      <c r="D1069" s="3">
        <v>6.87</v>
      </c>
      <c r="E1069" s="3">
        <v>116.79</v>
      </c>
      <c r="F1069">
        <v>23</v>
      </c>
      <c r="G1069">
        <v>6</v>
      </c>
      <c r="H1069" s="4">
        <v>1.1000000000000001</v>
      </c>
      <c r="I1069" t="s">
        <v>33</v>
      </c>
      <c r="J1069" t="s">
        <v>33</v>
      </c>
      <c r="L1069">
        <f t="shared" si="32"/>
        <v>2020</v>
      </c>
      <c r="M1069" t="str">
        <f t="shared" si="33"/>
        <v>COVID Period</v>
      </c>
    </row>
    <row r="1070" spans="1:13" x14ac:dyDescent="0.25">
      <c r="A1070" s="2">
        <v>44046</v>
      </c>
      <c r="B1070" t="s">
        <v>35</v>
      </c>
      <c r="C1070">
        <v>8</v>
      </c>
      <c r="D1070" s="3">
        <v>6.15</v>
      </c>
      <c r="E1070" s="3">
        <v>49.2</v>
      </c>
      <c r="F1070">
        <v>11</v>
      </c>
      <c r="G1070">
        <v>5</v>
      </c>
      <c r="H1070" s="4">
        <v>1.7</v>
      </c>
      <c r="I1070" t="s">
        <v>33</v>
      </c>
      <c r="J1070" t="s">
        <v>33</v>
      </c>
      <c r="L1070">
        <f t="shared" si="32"/>
        <v>2020</v>
      </c>
      <c r="M1070" t="str">
        <f t="shared" si="33"/>
        <v>COVID Period</v>
      </c>
    </row>
    <row r="1071" spans="1:13" x14ac:dyDescent="0.25">
      <c r="A1071" s="2">
        <v>44046</v>
      </c>
      <c r="B1071" t="s">
        <v>36</v>
      </c>
      <c r="C1071">
        <v>10</v>
      </c>
      <c r="D1071" s="3">
        <v>6.26</v>
      </c>
      <c r="E1071" s="3">
        <v>62.6</v>
      </c>
      <c r="F1071">
        <v>13</v>
      </c>
      <c r="G1071">
        <v>3</v>
      </c>
      <c r="H1071" s="4">
        <v>0.4</v>
      </c>
      <c r="I1071" t="s">
        <v>33</v>
      </c>
      <c r="J1071" t="s">
        <v>33</v>
      </c>
      <c r="L1071">
        <f t="shared" si="32"/>
        <v>2020</v>
      </c>
      <c r="M1071" t="str">
        <f t="shared" si="33"/>
        <v>COVID Period</v>
      </c>
    </row>
    <row r="1072" spans="1:13" x14ac:dyDescent="0.25">
      <c r="A1072" s="2">
        <v>44046</v>
      </c>
      <c r="B1072" t="s">
        <v>37</v>
      </c>
      <c r="C1072">
        <v>25</v>
      </c>
      <c r="D1072" s="3">
        <v>3.19</v>
      </c>
      <c r="E1072" s="3">
        <v>79.75</v>
      </c>
      <c r="F1072">
        <v>28</v>
      </c>
      <c r="G1072">
        <v>6</v>
      </c>
      <c r="H1072" s="4">
        <v>1.7</v>
      </c>
      <c r="I1072" t="s">
        <v>33</v>
      </c>
      <c r="J1072" t="s">
        <v>33</v>
      </c>
      <c r="L1072">
        <f t="shared" si="32"/>
        <v>2020</v>
      </c>
      <c r="M1072" t="str">
        <f t="shared" si="33"/>
        <v>COVID Period</v>
      </c>
    </row>
    <row r="1073" spans="1:13" x14ac:dyDescent="0.25">
      <c r="A1073" s="2">
        <v>44046</v>
      </c>
      <c r="B1073" t="s">
        <v>38</v>
      </c>
      <c r="C1073">
        <v>16</v>
      </c>
      <c r="D1073" s="3">
        <v>8.6</v>
      </c>
      <c r="E1073" s="3">
        <v>137.6</v>
      </c>
      <c r="F1073">
        <v>18</v>
      </c>
      <c r="G1073">
        <v>4</v>
      </c>
      <c r="H1073" s="4">
        <v>1.4</v>
      </c>
      <c r="I1073" t="s">
        <v>33</v>
      </c>
      <c r="J1073" t="s">
        <v>33</v>
      </c>
      <c r="L1073">
        <f t="shared" si="32"/>
        <v>2020</v>
      </c>
      <c r="M1073" t="str">
        <f t="shared" si="33"/>
        <v>COVID Period</v>
      </c>
    </row>
    <row r="1074" spans="1:13" x14ac:dyDescent="0.25">
      <c r="A1074" s="2">
        <v>44046</v>
      </c>
      <c r="B1074" t="s">
        <v>39</v>
      </c>
      <c r="C1074">
        <v>23</v>
      </c>
      <c r="D1074" s="3">
        <v>11.28</v>
      </c>
      <c r="E1074" s="3">
        <v>259.44</v>
      </c>
      <c r="F1074">
        <v>31</v>
      </c>
      <c r="G1074">
        <v>9</v>
      </c>
      <c r="H1074" s="4">
        <v>3</v>
      </c>
      <c r="I1074" t="s">
        <v>33</v>
      </c>
      <c r="J1074" t="s">
        <v>33</v>
      </c>
      <c r="L1074">
        <f t="shared" si="32"/>
        <v>2020</v>
      </c>
      <c r="M1074" t="str">
        <f t="shared" si="33"/>
        <v>COVID Period</v>
      </c>
    </row>
    <row r="1075" spans="1:13" x14ac:dyDescent="0.25">
      <c r="A1075" s="2">
        <v>44046</v>
      </c>
      <c r="B1075" t="s">
        <v>40</v>
      </c>
      <c r="C1075">
        <v>40</v>
      </c>
      <c r="D1075" s="3">
        <v>0.66</v>
      </c>
      <c r="E1075" s="3">
        <v>26.4</v>
      </c>
      <c r="F1075">
        <v>63</v>
      </c>
      <c r="G1075">
        <v>33</v>
      </c>
      <c r="H1075" s="4">
        <v>5.0999999999999996</v>
      </c>
      <c r="I1075" t="s">
        <v>46</v>
      </c>
      <c r="J1075" t="s">
        <v>33</v>
      </c>
      <c r="K1075" t="s">
        <v>47</v>
      </c>
      <c r="L1075">
        <f t="shared" si="32"/>
        <v>2020</v>
      </c>
      <c r="M1075" t="str">
        <f t="shared" si="33"/>
        <v>COVID Period</v>
      </c>
    </row>
    <row r="1076" spans="1:13" x14ac:dyDescent="0.25">
      <c r="A1076" s="2">
        <v>44046</v>
      </c>
      <c r="B1076" t="s">
        <v>41</v>
      </c>
      <c r="C1076">
        <v>26</v>
      </c>
      <c r="D1076" s="3">
        <v>1.34</v>
      </c>
      <c r="E1076" s="3">
        <v>34.840000000000003</v>
      </c>
      <c r="F1076">
        <v>38</v>
      </c>
      <c r="G1076">
        <v>13</v>
      </c>
      <c r="H1076" s="4">
        <v>2.7</v>
      </c>
      <c r="I1076" t="s">
        <v>46</v>
      </c>
      <c r="J1076" t="s">
        <v>33</v>
      </c>
      <c r="K1076" t="s">
        <v>47</v>
      </c>
      <c r="L1076">
        <f t="shared" si="32"/>
        <v>2020</v>
      </c>
      <c r="M1076" t="str">
        <f t="shared" si="33"/>
        <v>COVID Period</v>
      </c>
    </row>
    <row r="1077" spans="1:13" x14ac:dyDescent="0.25">
      <c r="A1077" s="2">
        <v>44046</v>
      </c>
      <c r="B1077" t="s">
        <v>42</v>
      </c>
      <c r="C1077">
        <v>22</v>
      </c>
      <c r="D1077" s="3">
        <v>4.3899999999999997</v>
      </c>
      <c r="E1077" s="3">
        <v>96.58</v>
      </c>
      <c r="F1077">
        <v>35</v>
      </c>
      <c r="G1077">
        <v>14</v>
      </c>
      <c r="H1077" s="4">
        <v>4.0999999999999996</v>
      </c>
      <c r="I1077" t="s">
        <v>46</v>
      </c>
      <c r="J1077" t="s">
        <v>33</v>
      </c>
      <c r="K1077" t="s">
        <v>47</v>
      </c>
      <c r="L1077">
        <f t="shared" si="32"/>
        <v>2020</v>
      </c>
      <c r="M1077" t="str">
        <f t="shared" si="33"/>
        <v>COVID Period</v>
      </c>
    </row>
    <row r="1078" spans="1:13" x14ac:dyDescent="0.25">
      <c r="A1078" s="2">
        <v>44046</v>
      </c>
      <c r="B1078" t="s">
        <v>43</v>
      </c>
      <c r="C1078">
        <v>15</v>
      </c>
      <c r="D1078" s="3">
        <v>5.63</v>
      </c>
      <c r="E1078" s="3">
        <v>84.45</v>
      </c>
      <c r="F1078">
        <v>22</v>
      </c>
      <c r="G1078">
        <v>7</v>
      </c>
      <c r="H1078" s="4">
        <v>5.4</v>
      </c>
      <c r="I1078" t="s">
        <v>46</v>
      </c>
      <c r="J1078" t="s">
        <v>33</v>
      </c>
      <c r="L1078">
        <f t="shared" si="32"/>
        <v>2020</v>
      </c>
      <c r="M1078" t="str">
        <f t="shared" si="33"/>
        <v>COVID Period</v>
      </c>
    </row>
    <row r="1079" spans="1:13" x14ac:dyDescent="0.25">
      <c r="A1079" s="2">
        <v>44046</v>
      </c>
      <c r="B1079" t="s">
        <v>44</v>
      </c>
      <c r="C1079">
        <v>1</v>
      </c>
      <c r="D1079" s="3">
        <v>4.97</v>
      </c>
      <c r="E1079" s="3">
        <v>4.97</v>
      </c>
      <c r="F1079">
        <v>3</v>
      </c>
      <c r="G1079">
        <v>3</v>
      </c>
      <c r="H1079" s="4">
        <v>1.1000000000000001</v>
      </c>
      <c r="I1079" t="s">
        <v>46</v>
      </c>
      <c r="J1079" t="s">
        <v>33</v>
      </c>
      <c r="K1079" t="s">
        <v>47</v>
      </c>
      <c r="L1079">
        <f t="shared" si="32"/>
        <v>2020</v>
      </c>
      <c r="M1079" t="str">
        <f t="shared" si="33"/>
        <v>COVID Period</v>
      </c>
    </row>
    <row r="1080" spans="1:13" x14ac:dyDescent="0.25">
      <c r="A1080" s="2">
        <v>44046</v>
      </c>
      <c r="B1080" t="s">
        <v>45</v>
      </c>
      <c r="C1080">
        <v>2</v>
      </c>
      <c r="D1080" s="3">
        <v>15.7</v>
      </c>
      <c r="E1080" s="3">
        <v>31.4</v>
      </c>
      <c r="F1080">
        <v>3</v>
      </c>
      <c r="G1080">
        <v>1</v>
      </c>
      <c r="H1080" s="4">
        <v>2.8</v>
      </c>
      <c r="I1080" t="s">
        <v>46</v>
      </c>
      <c r="J1080" t="s">
        <v>33</v>
      </c>
      <c r="L1080">
        <f t="shared" si="32"/>
        <v>2020</v>
      </c>
      <c r="M1080" t="str">
        <f t="shared" si="33"/>
        <v>COVID Period</v>
      </c>
    </row>
    <row r="1081" spans="1:13" x14ac:dyDescent="0.25">
      <c r="A1081" s="2">
        <v>44053</v>
      </c>
      <c r="B1081" t="s">
        <v>32</v>
      </c>
      <c r="C1081">
        <v>19</v>
      </c>
      <c r="D1081" s="3">
        <v>6.67</v>
      </c>
      <c r="E1081" s="3">
        <v>126.73</v>
      </c>
      <c r="F1081">
        <v>24</v>
      </c>
      <c r="G1081">
        <v>8</v>
      </c>
      <c r="H1081" s="4">
        <v>2</v>
      </c>
      <c r="I1081" t="s">
        <v>33</v>
      </c>
      <c r="J1081" t="s">
        <v>33</v>
      </c>
      <c r="L1081">
        <f t="shared" si="32"/>
        <v>2020</v>
      </c>
      <c r="M1081" t="str">
        <f t="shared" si="33"/>
        <v>COVID Period</v>
      </c>
    </row>
    <row r="1082" spans="1:13" x14ac:dyDescent="0.25">
      <c r="A1082" s="2">
        <v>44053</v>
      </c>
      <c r="B1082" t="s">
        <v>34</v>
      </c>
      <c r="C1082">
        <v>17</v>
      </c>
      <c r="D1082" s="3">
        <v>7.24</v>
      </c>
      <c r="E1082" s="3">
        <v>123.08</v>
      </c>
      <c r="F1082">
        <v>26</v>
      </c>
      <c r="G1082">
        <v>12</v>
      </c>
      <c r="H1082" s="4">
        <v>0.3</v>
      </c>
      <c r="I1082" t="s">
        <v>33</v>
      </c>
      <c r="J1082" t="s">
        <v>33</v>
      </c>
      <c r="L1082">
        <f t="shared" si="32"/>
        <v>2020</v>
      </c>
      <c r="M1082" t="str">
        <f t="shared" si="33"/>
        <v>COVID Period</v>
      </c>
    </row>
    <row r="1083" spans="1:13" x14ac:dyDescent="0.25">
      <c r="A1083" s="2">
        <v>44053</v>
      </c>
      <c r="B1083" t="s">
        <v>35</v>
      </c>
      <c r="C1083">
        <v>8</v>
      </c>
      <c r="D1083" s="3">
        <v>5.95</v>
      </c>
      <c r="E1083" s="3">
        <v>47.6</v>
      </c>
      <c r="F1083">
        <v>10</v>
      </c>
      <c r="G1083">
        <v>3</v>
      </c>
      <c r="H1083" s="4">
        <v>0.5</v>
      </c>
      <c r="I1083" t="s">
        <v>33</v>
      </c>
      <c r="J1083" t="s">
        <v>33</v>
      </c>
      <c r="L1083">
        <f t="shared" si="32"/>
        <v>2020</v>
      </c>
      <c r="M1083" t="str">
        <f t="shared" si="33"/>
        <v>COVID Period</v>
      </c>
    </row>
    <row r="1084" spans="1:13" x14ac:dyDescent="0.25">
      <c r="A1084" s="2">
        <v>44053</v>
      </c>
      <c r="B1084" t="s">
        <v>36</v>
      </c>
      <c r="C1084">
        <v>11</v>
      </c>
      <c r="D1084" s="3">
        <v>6.34</v>
      </c>
      <c r="E1084" s="3">
        <v>69.739999999999995</v>
      </c>
      <c r="F1084">
        <v>13</v>
      </c>
      <c r="G1084">
        <v>4</v>
      </c>
      <c r="H1084" s="4">
        <v>1.7</v>
      </c>
      <c r="I1084" t="s">
        <v>33</v>
      </c>
      <c r="J1084" t="s">
        <v>33</v>
      </c>
      <c r="L1084">
        <f t="shared" si="32"/>
        <v>2020</v>
      </c>
      <c r="M1084" t="str">
        <f t="shared" si="33"/>
        <v>COVID Period</v>
      </c>
    </row>
    <row r="1085" spans="1:13" x14ac:dyDescent="0.25">
      <c r="A1085" s="2">
        <v>44053</v>
      </c>
      <c r="B1085" t="s">
        <v>37</v>
      </c>
      <c r="C1085">
        <v>25</v>
      </c>
      <c r="D1085" s="3">
        <v>3.22</v>
      </c>
      <c r="E1085" s="3">
        <v>80.5</v>
      </c>
      <c r="F1085">
        <v>38</v>
      </c>
      <c r="G1085">
        <v>19</v>
      </c>
      <c r="H1085" s="4">
        <v>1.2</v>
      </c>
      <c r="I1085" t="s">
        <v>33</v>
      </c>
      <c r="J1085" t="s">
        <v>33</v>
      </c>
      <c r="L1085">
        <f t="shared" si="32"/>
        <v>2020</v>
      </c>
      <c r="M1085" t="str">
        <f t="shared" si="33"/>
        <v>COVID Period</v>
      </c>
    </row>
    <row r="1086" spans="1:13" x14ac:dyDescent="0.25">
      <c r="A1086" s="2">
        <v>44053</v>
      </c>
      <c r="B1086" t="s">
        <v>38</v>
      </c>
      <c r="C1086">
        <v>13</v>
      </c>
      <c r="D1086" s="3">
        <v>8.18</v>
      </c>
      <c r="E1086" s="3">
        <v>106.34</v>
      </c>
      <c r="F1086">
        <v>15</v>
      </c>
      <c r="G1086">
        <v>4</v>
      </c>
      <c r="H1086" s="4">
        <v>1.1000000000000001</v>
      </c>
      <c r="I1086" t="s">
        <v>33</v>
      </c>
      <c r="J1086" t="s">
        <v>33</v>
      </c>
      <c r="L1086">
        <f t="shared" si="32"/>
        <v>2020</v>
      </c>
      <c r="M1086" t="str">
        <f t="shared" si="33"/>
        <v>COVID Period</v>
      </c>
    </row>
    <row r="1087" spans="1:13" x14ac:dyDescent="0.25">
      <c r="A1087" s="2">
        <v>44053</v>
      </c>
      <c r="B1087" t="s">
        <v>39</v>
      </c>
      <c r="C1087">
        <v>21</v>
      </c>
      <c r="D1087" s="3">
        <v>11.19</v>
      </c>
      <c r="E1087" s="3">
        <v>234.99</v>
      </c>
      <c r="F1087">
        <v>30</v>
      </c>
      <c r="G1087">
        <v>10</v>
      </c>
      <c r="H1087" s="4">
        <v>1.5</v>
      </c>
      <c r="I1087" t="s">
        <v>33</v>
      </c>
      <c r="J1087" t="s">
        <v>33</v>
      </c>
      <c r="L1087">
        <f t="shared" si="32"/>
        <v>2020</v>
      </c>
      <c r="M1087" t="str">
        <f t="shared" si="33"/>
        <v>COVID Period</v>
      </c>
    </row>
    <row r="1088" spans="1:13" x14ac:dyDescent="0.25">
      <c r="A1088" s="2">
        <v>44053</v>
      </c>
      <c r="B1088" t="s">
        <v>40</v>
      </c>
      <c r="C1088">
        <v>45</v>
      </c>
      <c r="D1088" s="3">
        <v>0.65</v>
      </c>
      <c r="E1088" s="3">
        <v>29.25</v>
      </c>
      <c r="F1088">
        <v>68</v>
      </c>
      <c r="G1088">
        <v>26</v>
      </c>
      <c r="H1088" s="4">
        <v>4.5</v>
      </c>
      <c r="I1088" t="s">
        <v>46</v>
      </c>
      <c r="J1088" t="s">
        <v>33</v>
      </c>
      <c r="K1088" t="s">
        <v>47</v>
      </c>
      <c r="L1088">
        <f t="shared" si="32"/>
        <v>2020</v>
      </c>
      <c r="M1088" t="str">
        <f t="shared" si="33"/>
        <v>COVID Period</v>
      </c>
    </row>
    <row r="1089" spans="1:13" x14ac:dyDescent="0.25">
      <c r="A1089" s="2">
        <v>44053</v>
      </c>
      <c r="B1089" t="s">
        <v>41</v>
      </c>
      <c r="C1089">
        <v>16</v>
      </c>
      <c r="D1089" s="3">
        <v>1.4</v>
      </c>
      <c r="E1089" s="3">
        <v>22.4</v>
      </c>
      <c r="F1089">
        <v>24</v>
      </c>
      <c r="G1089">
        <v>11</v>
      </c>
      <c r="H1089" s="4">
        <v>4</v>
      </c>
      <c r="I1089" t="s">
        <v>46</v>
      </c>
      <c r="J1089" t="s">
        <v>33</v>
      </c>
      <c r="K1089" t="s">
        <v>47</v>
      </c>
      <c r="L1089">
        <f t="shared" si="32"/>
        <v>2020</v>
      </c>
      <c r="M1089" t="str">
        <f t="shared" si="33"/>
        <v>COVID Period</v>
      </c>
    </row>
    <row r="1090" spans="1:13" x14ac:dyDescent="0.25">
      <c r="A1090" s="2">
        <v>44053</v>
      </c>
      <c r="B1090" t="s">
        <v>42</v>
      </c>
      <c r="C1090">
        <v>33</v>
      </c>
      <c r="D1090" s="3">
        <v>4.4000000000000004</v>
      </c>
      <c r="E1090" s="3">
        <v>145.19999999999999</v>
      </c>
      <c r="F1090">
        <v>47</v>
      </c>
      <c r="G1090">
        <v>22</v>
      </c>
      <c r="H1090" s="4">
        <v>2.6</v>
      </c>
      <c r="I1090" t="s">
        <v>46</v>
      </c>
      <c r="J1090" t="s">
        <v>33</v>
      </c>
      <c r="K1090" t="s">
        <v>47</v>
      </c>
      <c r="L1090">
        <f t="shared" ref="L1090:L1153" si="34">YEAR(A1090)</f>
        <v>2020</v>
      </c>
      <c r="M1090" t="str">
        <f t="shared" ref="M1090:M1153" si="35">IF(L1090=2019,"Pre-COVID","COVID Period")</f>
        <v>COVID Period</v>
      </c>
    </row>
    <row r="1091" spans="1:13" x14ac:dyDescent="0.25">
      <c r="A1091" s="2">
        <v>44053</v>
      </c>
      <c r="B1091" t="s">
        <v>43</v>
      </c>
      <c r="C1091">
        <v>16</v>
      </c>
      <c r="D1091" s="3">
        <v>5.46</v>
      </c>
      <c r="E1091" s="3">
        <v>87.36</v>
      </c>
      <c r="F1091">
        <v>24</v>
      </c>
      <c r="G1091">
        <v>8</v>
      </c>
      <c r="H1091" s="4">
        <v>2.2000000000000002</v>
      </c>
      <c r="I1091" t="s">
        <v>46</v>
      </c>
      <c r="J1091" t="s">
        <v>33</v>
      </c>
      <c r="L1091">
        <f t="shared" si="34"/>
        <v>2020</v>
      </c>
      <c r="M1091" t="str">
        <f t="shared" si="35"/>
        <v>COVID Period</v>
      </c>
    </row>
    <row r="1092" spans="1:13" x14ac:dyDescent="0.25">
      <c r="A1092" s="2">
        <v>44053</v>
      </c>
      <c r="B1092" t="s">
        <v>44</v>
      </c>
      <c r="C1092">
        <v>0</v>
      </c>
      <c r="D1092" s="3">
        <v>4.9000000000000004</v>
      </c>
      <c r="E1092" s="3">
        <v>0</v>
      </c>
      <c r="F1092">
        <v>3</v>
      </c>
      <c r="G1092">
        <v>3</v>
      </c>
      <c r="H1092" s="4">
        <v>3.5</v>
      </c>
      <c r="I1092" t="s">
        <v>33</v>
      </c>
      <c r="J1092" t="s">
        <v>33</v>
      </c>
      <c r="L1092">
        <f t="shared" si="34"/>
        <v>2020</v>
      </c>
      <c r="M1092" t="str">
        <f t="shared" si="35"/>
        <v>COVID Period</v>
      </c>
    </row>
    <row r="1093" spans="1:13" x14ac:dyDescent="0.25">
      <c r="A1093" s="2">
        <v>44053</v>
      </c>
      <c r="B1093" t="s">
        <v>45</v>
      </c>
      <c r="C1093">
        <v>0</v>
      </c>
      <c r="D1093" s="3">
        <v>15.55</v>
      </c>
      <c r="E1093" s="3">
        <v>0</v>
      </c>
      <c r="F1093">
        <v>3</v>
      </c>
      <c r="G1093">
        <v>3</v>
      </c>
      <c r="H1093" s="4">
        <v>2.8</v>
      </c>
      <c r="I1093" t="s">
        <v>46</v>
      </c>
      <c r="J1093" t="s">
        <v>33</v>
      </c>
      <c r="L1093">
        <f t="shared" si="34"/>
        <v>2020</v>
      </c>
      <c r="M1093" t="str">
        <f t="shared" si="35"/>
        <v>COVID Period</v>
      </c>
    </row>
    <row r="1094" spans="1:13" x14ac:dyDescent="0.25">
      <c r="A1094" s="2">
        <v>44060</v>
      </c>
      <c r="B1094" t="s">
        <v>32</v>
      </c>
      <c r="C1094">
        <v>16</v>
      </c>
      <c r="D1094" s="3">
        <v>6.59</v>
      </c>
      <c r="E1094" s="3">
        <v>105.44</v>
      </c>
      <c r="F1094">
        <v>24</v>
      </c>
      <c r="G1094">
        <v>11</v>
      </c>
      <c r="H1094" s="4">
        <v>1.2</v>
      </c>
      <c r="I1094" t="s">
        <v>33</v>
      </c>
      <c r="J1094" t="s">
        <v>33</v>
      </c>
      <c r="L1094">
        <f t="shared" si="34"/>
        <v>2020</v>
      </c>
      <c r="M1094" t="str">
        <f t="shared" si="35"/>
        <v>COVID Period</v>
      </c>
    </row>
    <row r="1095" spans="1:13" x14ac:dyDescent="0.25">
      <c r="A1095" s="2">
        <v>44060</v>
      </c>
      <c r="B1095" t="s">
        <v>34</v>
      </c>
      <c r="C1095">
        <v>13</v>
      </c>
      <c r="D1095" s="3">
        <v>7.18</v>
      </c>
      <c r="E1095" s="3">
        <v>93.34</v>
      </c>
      <c r="F1095">
        <v>17</v>
      </c>
      <c r="G1095">
        <v>7</v>
      </c>
      <c r="H1095" s="4">
        <v>2</v>
      </c>
      <c r="I1095" t="s">
        <v>33</v>
      </c>
      <c r="J1095" t="s">
        <v>33</v>
      </c>
      <c r="L1095">
        <f t="shared" si="34"/>
        <v>2020</v>
      </c>
      <c r="M1095" t="str">
        <f t="shared" si="35"/>
        <v>COVID Period</v>
      </c>
    </row>
    <row r="1096" spans="1:13" x14ac:dyDescent="0.25">
      <c r="A1096" s="2">
        <v>44060</v>
      </c>
      <c r="B1096" t="s">
        <v>35</v>
      </c>
      <c r="C1096">
        <v>8</v>
      </c>
      <c r="D1096" s="3">
        <v>6.01</v>
      </c>
      <c r="E1096" s="3">
        <v>48.08</v>
      </c>
      <c r="F1096">
        <v>10</v>
      </c>
      <c r="G1096">
        <v>4</v>
      </c>
      <c r="H1096" s="4">
        <v>2</v>
      </c>
      <c r="I1096" t="s">
        <v>33</v>
      </c>
      <c r="J1096" t="s">
        <v>33</v>
      </c>
      <c r="L1096">
        <f t="shared" si="34"/>
        <v>2020</v>
      </c>
      <c r="M1096" t="str">
        <f t="shared" si="35"/>
        <v>COVID Period</v>
      </c>
    </row>
    <row r="1097" spans="1:13" x14ac:dyDescent="0.25">
      <c r="A1097" s="2">
        <v>44060</v>
      </c>
      <c r="B1097" t="s">
        <v>36</v>
      </c>
      <c r="C1097">
        <v>8</v>
      </c>
      <c r="D1097" s="3">
        <v>6.07</v>
      </c>
      <c r="E1097" s="3">
        <v>48.56</v>
      </c>
      <c r="F1097">
        <v>11</v>
      </c>
      <c r="G1097">
        <v>4</v>
      </c>
      <c r="H1097" s="4">
        <v>2.2000000000000002</v>
      </c>
      <c r="I1097" t="s">
        <v>33</v>
      </c>
      <c r="J1097" t="s">
        <v>33</v>
      </c>
      <c r="L1097">
        <f t="shared" si="34"/>
        <v>2020</v>
      </c>
      <c r="M1097" t="str">
        <f t="shared" si="35"/>
        <v>COVID Period</v>
      </c>
    </row>
    <row r="1098" spans="1:13" x14ac:dyDescent="0.25">
      <c r="A1098" s="2">
        <v>44060</v>
      </c>
      <c r="B1098" t="s">
        <v>37</v>
      </c>
      <c r="C1098">
        <v>32</v>
      </c>
      <c r="D1098" s="3">
        <v>3.33</v>
      </c>
      <c r="E1098" s="3">
        <v>106.56</v>
      </c>
      <c r="F1098">
        <v>52</v>
      </c>
      <c r="G1098">
        <v>23</v>
      </c>
      <c r="H1098" s="4">
        <v>2.5</v>
      </c>
      <c r="I1098" t="s">
        <v>33</v>
      </c>
      <c r="J1098" t="s">
        <v>33</v>
      </c>
      <c r="L1098">
        <f t="shared" si="34"/>
        <v>2020</v>
      </c>
      <c r="M1098" t="str">
        <f t="shared" si="35"/>
        <v>COVID Period</v>
      </c>
    </row>
    <row r="1099" spans="1:13" x14ac:dyDescent="0.25">
      <c r="A1099" s="2">
        <v>44060</v>
      </c>
      <c r="B1099" t="s">
        <v>38</v>
      </c>
      <c r="C1099">
        <v>8</v>
      </c>
      <c r="D1099" s="3">
        <v>8.85</v>
      </c>
      <c r="E1099" s="3">
        <v>70.8</v>
      </c>
      <c r="F1099">
        <v>9</v>
      </c>
      <c r="G1099">
        <v>2</v>
      </c>
      <c r="H1099" s="4">
        <v>2.2000000000000002</v>
      </c>
      <c r="I1099" t="s">
        <v>33</v>
      </c>
      <c r="J1099" t="s">
        <v>33</v>
      </c>
      <c r="L1099">
        <f t="shared" si="34"/>
        <v>2020</v>
      </c>
      <c r="M1099" t="str">
        <f t="shared" si="35"/>
        <v>COVID Period</v>
      </c>
    </row>
    <row r="1100" spans="1:13" x14ac:dyDescent="0.25">
      <c r="A1100" s="2">
        <v>44060</v>
      </c>
      <c r="B1100" t="s">
        <v>39</v>
      </c>
      <c r="C1100">
        <v>27</v>
      </c>
      <c r="D1100" s="3">
        <v>11.94</v>
      </c>
      <c r="E1100" s="3">
        <v>322.38</v>
      </c>
      <c r="F1100">
        <v>34</v>
      </c>
      <c r="G1100">
        <v>10</v>
      </c>
      <c r="H1100" s="4">
        <v>2.1</v>
      </c>
      <c r="I1100" t="s">
        <v>33</v>
      </c>
      <c r="J1100" t="s">
        <v>33</v>
      </c>
      <c r="L1100">
        <f t="shared" si="34"/>
        <v>2020</v>
      </c>
      <c r="M1100" t="str">
        <f t="shared" si="35"/>
        <v>COVID Period</v>
      </c>
    </row>
    <row r="1101" spans="1:13" x14ac:dyDescent="0.25">
      <c r="A1101" s="2">
        <v>44060</v>
      </c>
      <c r="B1101" t="s">
        <v>40</v>
      </c>
      <c r="C1101">
        <v>33</v>
      </c>
      <c r="D1101" s="3">
        <v>0.68</v>
      </c>
      <c r="E1101" s="3">
        <v>22.44</v>
      </c>
      <c r="F1101">
        <v>37</v>
      </c>
      <c r="G1101">
        <v>8</v>
      </c>
      <c r="H1101" s="4">
        <v>3.9</v>
      </c>
      <c r="I1101" t="s">
        <v>46</v>
      </c>
      <c r="J1101" t="s">
        <v>33</v>
      </c>
      <c r="K1101" t="s">
        <v>47</v>
      </c>
      <c r="L1101">
        <f t="shared" si="34"/>
        <v>2020</v>
      </c>
      <c r="M1101" t="str">
        <f t="shared" si="35"/>
        <v>COVID Period</v>
      </c>
    </row>
    <row r="1102" spans="1:13" x14ac:dyDescent="0.25">
      <c r="A1102" s="2">
        <v>44060</v>
      </c>
      <c r="B1102" t="s">
        <v>41</v>
      </c>
      <c r="C1102">
        <v>32</v>
      </c>
      <c r="D1102" s="3">
        <v>1.34</v>
      </c>
      <c r="E1102" s="3">
        <v>42.88</v>
      </c>
      <c r="F1102">
        <v>36</v>
      </c>
      <c r="G1102">
        <v>5</v>
      </c>
      <c r="H1102" s="4">
        <v>5.4</v>
      </c>
      <c r="I1102" t="s">
        <v>46</v>
      </c>
      <c r="J1102" t="s">
        <v>33</v>
      </c>
      <c r="K1102" t="s">
        <v>47</v>
      </c>
      <c r="L1102">
        <f t="shared" si="34"/>
        <v>2020</v>
      </c>
      <c r="M1102" t="str">
        <f t="shared" si="35"/>
        <v>COVID Period</v>
      </c>
    </row>
    <row r="1103" spans="1:13" x14ac:dyDescent="0.25">
      <c r="A1103" s="2">
        <v>44060</v>
      </c>
      <c r="B1103" t="s">
        <v>42</v>
      </c>
      <c r="C1103">
        <v>42</v>
      </c>
      <c r="D1103" s="3">
        <v>4.1399999999999997</v>
      </c>
      <c r="E1103" s="3">
        <v>173.88</v>
      </c>
      <c r="F1103">
        <v>43</v>
      </c>
      <c r="G1103">
        <v>4</v>
      </c>
      <c r="H1103" s="4">
        <v>3.7</v>
      </c>
      <c r="I1103" t="s">
        <v>46</v>
      </c>
      <c r="J1103" t="s">
        <v>33</v>
      </c>
      <c r="K1103" t="s">
        <v>47</v>
      </c>
      <c r="L1103">
        <f t="shared" si="34"/>
        <v>2020</v>
      </c>
      <c r="M1103" t="str">
        <f t="shared" si="35"/>
        <v>COVID Period</v>
      </c>
    </row>
    <row r="1104" spans="1:13" x14ac:dyDescent="0.25">
      <c r="A1104" s="2">
        <v>44060</v>
      </c>
      <c r="B1104" t="s">
        <v>43</v>
      </c>
      <c r="C1104">
        <v>23</v>
      </c>
      <c r="D1104" s="3">
        <v>5.48</v>
      </c>
      <c r="E1104" s="3">
        <v>126.04</v>
      </c>
      <c r="F1104">
        <v>30</v>
      </c>
      <c r="G1104">
        <v>9</v>
      </c>
      <c r="H1104" s="4">
        <v>3.2</v>
      </c>
      <c r="I1104" t="s">
        <v>46</v>
      </c>
      <c r="J1104" t="s">
        <v>33</v>
      </c>
      <c r="L1104">
        <f t="shared" si="34"/>
        <v>2020</v>
      </c>
      <c r="M1104" t="str">
        <f t="shared" si="35"/>
        <v>COVID Period</v>
      </c>
    </row>
    <row r="1105" spans="1:13" x14ac:dyDescent="0.25">
      <c r="A1105" s="2">
        <v>44060</v>
      </c>
      <c r="B1105" t="s">
        <v>44</v>
      </c>
      <c r="C1105">
        <v>0</v>
      </c>
      <c r="D1105" s="3">
        <v>4.97</v>
      </c>
      <c r="E1105" s="3">
        <v>0</v>
      </c>
      <c r="F1105">
        <v>3</v>
      </c>
      <c r="G1105">
        <v>3</v>
      </c>
      <c r="H1105" s="4">
        <v>2.7</v>
      </c>
      <c r="I1105" t="s">
        <v>33</v>
      </c>
      <c r="J1105" t="s">
        <v>33</v>
      </c>
      <c r="L1105">
        <f t="shared" si="34"/>
        <v>2020</v>
      </c>
      <c r="M1105" t="str">
        <f t="shared" si="35"/>
        <v>COVID Period</v>
      </c>
    </row>
    <row r="1106" spans="1:13" x14ac:dyDescent="0.25">
      <c r="A1106" s="2">
        <v>44060</v>
      </c>
      <c r="B1106" t="s">
        <v>45</v>
      </c>
      <c r="C1106">
        <v>1</v>
      </c>
      <c r="D1106" s="3">
        <v>14.71</v>
      </c>
      <c r="E1106" s="3">
        <v>14.71</v>
      </c>
      <c r="F1106">
        <v>3</v>
      </c>
      <c r="G1106">
        <v>2</v>
      </c>
      <c r="H1106" s="4">
        <v>3.4</v>
      </c>
      <c r="I1106" t="s">
        <v>46</v>
      </c>
      <c r="J1106" t="s">
        <v>33</v>
      </c>
      <c r="L1106">
        <f t="shared" si="34"/>
        <v>2020</v>
      </c>
      <c r="M1106" t="str">
        <f t="shared" si="35"/>
        <v>COVID Period</v>
      </c>
    </row>
    <row r="1107" spans="1:13" x14ac:dyDescent="0.25">
      <c r="A1107" s="2">
        <v>44067</v>
      </c>
      <c r="B1107" t="s">
        <v>32</v>
      </c>
      <c r="C1107">
        <v>22</v>
      </c>
      <c r="D1107" s="3">
        <v>6.9</v>
      </c>
      <c r="E1107" s="3">
        <v>151.80000000000001</v>
      </c>
      <c r="F1107">
        <v>26</v>
      </c>
      <c r="G1107">
        <v>8</v>
      </c>
      <c r="H1107" s="4">
        <v>1.4</v>
      </c>
      <c r="I1107" t="s">
        <v>33</v>
      </c>
      <c r="J1107" t="s">
        <v>33</v>
      </c>
      <c r="L1107">
        <f t="shared" si="34"/>
        <v>2020</v>
      </c>
      <c r="M1107" t="str">
        <f t="shared" si="35"/>
        <v>COVID Period</v>
      </c>
    </row>
    <row r="1108" spans="1:13" x14ac:dyDescent="0.25">
      <c r="A1108" s="2">
        <v>44067</v>
      </c>
      <c r="B1108" t="s">
        <v>34</v>
      </c>
      <c r="C1108">
        <v>12</v>
      </c>
      <c r="D1108" s="3">
        <v>6.99</v>
      </c>
      <c r="E1108" s="3">
        <v>83.88</v>
      </c>
      <c r="F1108">
        <v>17</v>
      </c>
      <c r="G1108">
        <v>6</v>
      </c>
      <c r="H1108" s="4">
        <v>2</v>
      </c>
      <c r="I1108" t="s">
        <v>33</v>
      </c>
      <c r="J1108" t="s">
        <v>33</v>
      </c>
      <c r="L1108">
        <f t="shared" si="34"/>
        <v>2020</v>
      </c>
      <c r="M1108" t="str">
        <f t="shared" si="35"/>
        <v>COVID Period</v>
      </c>
    </row>
    <row r="1109" spans="1:13" x14ac:dyDescent="0.25">
      <c r="A1109" s="2">
        <v>44067</v>
      </c>
      <c r="B1109" t="s">
        <v>35</v>
      </c>
      <c r="C1109">
        <v>11</v>
      </c>
      <c r="D1109" s="3">
        <v>6.11</v>
      </c>
      <c r="E1109" s="3">
        <v>67.209999999999994</v>
      </c>
      <c r="F1109">
        <v>16</v>
      </c>
      <c r="G1109">
        <v>6</v>
      </c>
      <c r="H1109" s="4">
        <v>2.2999999999999998</v>
      </c>
      <c r="I1109" t="s">
        <v>33</v>
      </c>
      <c r="J1109" t="s">
        <v>33</v>
      </c>
      <c r="L1109">
        <f t="shared" si="34"/>
        <v>2020</v>
      </c>
      <c r="M1109" t="str">
        <f t="shared" si="35"/>
        <v>COVID Period</v>
      </c>
    </row>
    <row r="1110" spans="1:13" x14ac:dyDescent="0.25">
      <c r="A1110" s="2">
        <v>44067</v>
      </c>
      <c r="B1110" t="s">
        <v>36</v>
      </c>
      <c r="C1110">
        <v>10</v>
      </c>
      <c r="D1110" s="3">
        <v>6.08</v>
      </c>
      <c r="E1110" s="3">
        <v>60.8</v>
      </c>
      <c r="F1110">
        <v>11</v>
      </c>
      <c r="G1110">
        <v>2</v>
      </c>
      <c r="H1110" s="4">
        <v>2.1</v>
      </c>
      <c r="I1110" t="s">
        <v>33</v>
      </c>
      <c r="J1110" t="s">
        <v>33</v>
      </c>
      <c r="L1110">
        <f t="shared" si="34"/>
        <v>2020</v>
      </c>
      <c r="M1110" t="str">
        <f t="shared" si="35"/>
        <v>COVID Period</v>
      </c>
    </row>
    <row r="1111" spans="1:13" x14ac:dyDescent="0.25">
      <c r="A1111" s="2">
        <v>44067</v>
      </c>
      <c r="B1111" t="s">
        <v>37</v>
      </c>
      <c r="C1111">
        <v>24</v>
      </c>
      <c r="D1111" s="3">
        <v>3.22</v>
      </c>
      <c r="E1111" s="3">
        <v>77.28</v>
      </c>
      <c r="F1111">
        <v>30</v>
      </c>
      <c r="G1111">
        <v>7</v>
      </c>
      <c r="H1111" s="4">
        <v>1.1000000000000001</v>
      </c>
      <c r="I1111" t="s">
        <v>33</v>
      </c>
      <c r="J1111" t="s">
        <v>33</v>
      </c>
      <c r="L1111">
        <f t="shared" si="34"/>
        <v>2020</v>
      </c>
      <c r="M1111" t="str">
        <f t="shared" si="35"/>
        <v>COVID Period</v>
      </c>
    </row>
    <row r="1112" spans="1:13" x14ac:dyDescent="0.25">
      <c r="A1112" s="2">
        <v>44067</v>
      </c>
      <c r="B1112" t="s">
        <v>38</v>
      </c>
      <c r="C1112">
        <v>11</v>
      </c>
      <c r="D1112" s="3">
        <v>8.5500000000000007</v>
      </c>
      <c r="E1112" s="3">
        <v>94.05</v>
      </c>
      <c r="F1112">
        <v>16</v>
      </c>
      <c r="G1112">
        <v>6</v>
      </c>
      <c r="H1112" s="4">
        <v>1.6</v>
      </c>
      <c r="I1112" t="s">
        <v>33</v>
      </c>
      <c r="J1112" t="s">
        <v>33</v>
      </c>
      <c r="L1112">
        <f t="shared" si="34"/>
        <v>2020</v>
      </c>
      <c r="M1112" t="str">
        <f t="shared" si="35"/>
        <v>COVID Period</v>
      </c>
    </row>
    <row r="1113" spans="1:13" x14ac:dyDescent="0.25">
      <c r="A1113" s="2">
        <v>44067</v>
      </c>
      <c r="B1113" t="s">
        <v>39</v>
      </c>
      <c r="C1113">
        <v>20</v>
      </c>
      <c r="D1113" s="3">
        <v>11.84</v>
      </c>
      <c r="E1113" s="3">
        <v>236.8</v>
      </c>
      <c r="F1113">
        <v>24</v>
      </c>
      <c r="G1113">
        <v>7</v>
      </c>
      <c r="H1113" s="4">
        <v>0.8</v>
      </c>
      <c r="I1113" t="s">
        <v>33</v>
      </c>
      <c r="J1113" t="s">
        <v>33</v>
      </c>
      <c r="L1113">
        <f t="shared" si="34"/>
        <v>2020</v>
      </c>
      <c r="M1113" t="str">
        <f t="shared" si="35"/>
        <v>COVID Period</v>
      </c>
    </row>
    <row r="1114" spans="1:13" x14ac:dyDescent="0.25">
      <c r="A1114" s="2">
        <v>44067</v>
      </c>
      <c r="B1114" t="s">
        <v>40</v>
      </c>
      <c r="C1114">
        <v>41</v>
      </c>
      <c r="D1114" s="3">
        <v>0.63</v>
      </c>
      <c r="E1114" s="3">
        <v>25.83</v>
      </c>
      <c r="F1114">
        <v>51</v>
      </c>
      <c r="G1114">
        <v>11</v>
      </c>
      <c r="H1114" s="4">
        <v>4.9000000000000004</v>
      </c>
      <c r="I1114" t="s">
        <v>46</v>
      </c>
      <c r="J1114" t="s">
        <v>33</v>
      </c>
      <c r="K1114" t="s">
        <v>47</v>
      </c>
      <c r="L1114">
        <f t="shared" si="34"/>
        <v>2020</v>
      </c>
      <c r="M1114" t="str">
        <f t="shared" si="35"/>
        <v>COVID Period</v>
      </c>
    </row>
    <row r="1115" spans="1:13" x14ac:dyDescent="0.25">
      <c r="A1115" s="2">
        <v>44067</v>
      </c>
      <c r="B1115" t="s">
        <v>41</v>
      </c>
      <c r="C1115">
        <v>26</v>
      </c>
      <c r="D1115" s="3">
        <v>1.34</v>
      </c>
      <c r="E1115" s="3">
        <v>34.840000000000003</v>
      </c>
      <c r="F1115">
        <v>40</v>
      </c>
      <c r="G1115">
        <v>21</v>
      </c>
      <c r="H1115" s="4">
        <v>4.2</v>
      </c>
      <c r="I1115" t="s">
        <v>46</v>
      </c>
      <c r="J1115" t="s">
        <v>33</v>
      </c>
      <c r="K1115" t="s">
        <v>47</v>
      </c>
      <c r="L1115">
        <f t="shared" si="34"/>
        <v>2020</v>
      </c>
      <c r="M1115" t="str">
        <f t="shared" si="35"/>
        <v>COVID Period</v>
      </c>
    </row>
    <row r="1116" spans="1:13" x14ac:dyDescent="0.25">
      <c r="A1116" s="2">
        <v>44067</v>
      </c>
      <c r="B1116" t="s">
        <v>42</v>
      </c>
      <c r="C1116">
        <v>23</v>
      </c>
      <c r="D1116" s="3">
        <v>4.05</v>
      </c>
      <c r="E1116" s="3">
        <v>93.15</v>
      </c>
      <c r="F1116">
        <v>28</v>
      </c>
      <c r="G1116">
        <v>9</v>
      </c>
      <c r="H1116" s="4">
        <v>0.7</v>
      </c>
      <c r="I1116" t="s">
        <v>46</v>
      </c>
      <c r="J1116" t="s">
        <v>33</v>
      </c>
      <c r="K1116" t="s">
        <v>47</v>
      </c>
      <c r="L1116">
        <f t="shared" si="34"/>
        <v>2020</v>
      </c>
      <c r="M1116" t="str">
        <f t="shared" si="35"/>
        <v>COVID Period</v>
      </c>
    </row>
    <row r="1117" spans="1:13" x14ac:dyDescent="0.25">
      <c r="A1117" s="2">
        <v>44067</v>
      </c>
      <c r="B1117" t="s">
        <v>43</v>
      </c>
      <c r="C1117">
        <v>19</v>
      </c>
      <c r="D1117" s="3">
        <v>5.45</v>
      </c>
      <c r="E1117" s="3">
        <v>103.55</v>
      </c>
      <c r="F1117">
        <v>30</v>
      </c>
      <c r="G1117">
        <v>13</v>
      </c>
      <c r="H1117" s="4">
        <v>2.5</v>
      </c>
      <c r="I1117" t="s">
        <v>46</v>
      </c>
      <c r="J1117" t="s">
        <v>33</v>
      </c>
      <c r="L1117">
        <f t="shared" si="34"/>
        <v>2020</v>
      </c>
      <c r="M1117" t="str">
        <f t="shared" si="35"/>
        <v>COVID Period</v>
      </c>
    </row>
    <row r="1118" spans="1:13" x14ac:dyDescent="0.25">
      <c r="A1118" s="2">
        <v>44067</v>
      </c>
      <c r="B1118" t="s">
        <v>44</v>
      </c>
      <c r="C1118">
        <v>0</v>
      </c>
      <c r="D1118" s="3">
        <v>5.03</v>
      </c>
      <c r="E1118" s="3">
        <v>0</v>
      </c>
      <c r="F1118">
        <v>3</v>
      </c>
      <c r="G1118">
        <v>3</v>
      </c>
      <c r="H1118" s="4">
        <v>3.2</v>
      </c>
      <c r="I1118" t="s">
        <v>33</v>
      </c>
      <c r="J1118" t="s">
        <v>33</v>
      </c>
      <c r="L1118">
        <f t="shared" si="34"/>
        <v>2020</v>
      </c>
      <c r="M1118" t="str">
        <f t="shared" si="35"/>
        <v>COVID Period</v>
      </c>
    </row>
    <row r="1119" spans="1:13" x14ac:dyDescent="0.25">
      <c r="A1119" s="2">
        <v>44067</v>
      </c>
      <c r="B1119" t="s">
        <v>45</v>
      </c>
      <c r="C1119">
        <v>1</v>
      </c>
      <c r="D1119" s="3">
        <v>15.44</v>
      </c>
      <c r="E1119" s="3">
        <v>15.44</v>
      </c>
      <c r="F1119">
        <v>3</v>
      </c>
      <c r="G1119">
        <v>2</v>
      </c>
      <c r="H1119" s="4">
        <v>0.2</v>
      </c>
      <c r="I1119" t="s">
        <v>46</v>
      </c>
      <c r="J1119" t="s">
        <v>33</v>
      </c>
      <c r="L1119">
        <f t="shared" si="34"/>
        <v>2020</v>
      </c>
      <c r="M1119" t="str">
        <f t="shared" si="35"/>
        <v>COVID Period</v>
      </c>
    </row>
    <row r="1120" spans="1:13" x14ac:dyDescent="0.25">
      <c r="A1120" s="2">
        <v>44074</v>
      </c>
      <c r="B1120" t="s">
        <v>32</v>
      </c>
      <c r="C1120">
        <v>14</v>
      </c>
      <c r="D1120" s="3">
        <v>7.06</v>
      </c>
      <c r="E1120" s="3">
        <v>98.84</v>
      </c>
      <c r="F1120">
        <v>15</v>
      </c>
      <c r="G1120">
        <v>3</v>
      </c>
      <c r="H1120" s="4">
        <v>1.9</v>
      </c>
      <c r="I1120" t="s">
        <v>33</v>
      </c>
      <c r="J1120" t="s">
        <v>33</v>
      </c>
      <c r="L1120">
        <f t="shared" si="34"/>
        <v>2020</v>
      </c>
      <c r="M1120" t="str">
        <f t="shared" si="35"/>
        <v>COVID Period</v>
      </c>
    </row>
    <row r="1121" spans="1:13" x14ac:dyDescent="0.25">
      <c r="A1121" s="2">
        <v>44074</v>
      </c>
      <c r="B1121" t="s">
        <v>34</v>
      </c>
      <c r="C1121">
        <v>14</v>
      </c>
      <c r="D1121" s="3">
        <v>6.94</v>
      </c>
      <c r="E1121" s="3">
        <v>97.16</v>
      </c>
      <c r="F1121">
        <v>15</v>
      </c>
      <c r="G1121">
        <v>3</v>
      </c>
      <c r="H1121" s="4">
        <v>0</v>
      </c>
      <c r="I1121" t="s">
        <v>33</v>
      </c>
      <c r="J1121" t="s">
        <v>33</v>
      </c>
      <c r="L1121">
        <f t="shared" si="34"/>
        <v>2020</v>
      </c>
      <c r="M1121" t="str">
        <f t="shared" si="35"/>
        <v>COVID Period</v>
      </c>
    </row>
    <row r="1122" spans="1:13" x14ac:dyDescent="0.25">
      <c r="A1122" s="2">
        <v>44074</v>
      </c>
      <c r="B1122" t="s">
        <v>35</v>
      </c>
      <c r="C1122">
        <v>5</v>
      </c>
      <c r="D1122" s="3">
        <v>5.88</v>
      </c>
      <c r="E1122" s="3">
        <v>29.4</v>
      </c>
      <c r="F1122">
        <v>6</v>
      </c>
      <c r="G1122">
        <v>2</v>
      </c>
      <c r="H1122" s="4">
        <v>1.6</v>
      </c>
      <c r="I1122" t="s">
        <v>33</v>
      </c>
      <c r="J1122" t="s">
        <v>33</v>
      </c>
      <c r="L1122">
        <f t="shared" si="34"/>
        <v>2020</v>
      </c>
      <c r="M1122" t="str">
        <f t="shared" si="35"/>
        <v>COVID Period</v>
      </c>
    </row>
    <row r="1123" spans="1:13" x14ac:dyDescent="0.25">
      <c r="A1123" s="2">
        <v>44074</v>
      </c>
      <c r="B1123" t="s">
        <v>36</v>
      </c>
      <c r="C1123">
        <v>9</v>
      </c>
      <c r="D1123" s="3">
        <v>6.32</v>
      </c>
      <c r="E1123" s="3">
        <v>56.88</v>
      </c>
      <c r="F1123">
        <v>11</v>
      </c>
      <c r="G1123">
        <v>4</v>
      </c>
      <c r="H1123" s="4">
        <v>0.8</v>
      </c>
      <c r="I1123" t="s">
        <v>33</v>
      </c>
      <c r="J1123" t="s">
        <v>33</v>
      </c>
      <c r="L1123">
        <f t="shared" si="34"/>
        <v>2020</v>
      </c>
      <c r="M1123" t="str">
        <f t="shared" si="35"/>
        <v>COVID Period</v>
      </c>
    </row>
    <row r="1124" spans="1:13" x14ac:dyDescent="0.25">
      <c r="A1124" s="2">
        <v>44074</v>
      </c>
      <c r="B1124" t="s">
        <v>37</v>
      </c>
      <c r="C1124">
        <v>26</v>
      </c>
      <c r="D1124" s="3">
        <v>3.22</v>
      </c>
      <c r="E1124" s="3">
        <v>83.72</v>
      </c>
      <c r="F1124">
        <v>38</v>
      </c>
      <c r="G1124">
        <v>13</v>
      </c>
      <c r="H1124" s="4">
        <v>1.9</v>
      </c>
      <c r="I1124" t="s">
        <v>33</v>
      </c>
      <c r="J1124" t="s">
        <v>33</v>
      </c>
      <c r="L1124">
        <f t="shared" si="34"/>
        <v>2020</v>
      </c>
      <c r="M1124" t="str">
        <f t="shared" si="35"/>
        <v>COVID Period</v>
      </c>
    </row>
    <row r="1125" spans="1:13" x14ac:dyDescent="0.25">
      <c r="A1125" s="2">
        <v>44074</v>
      </c>
      <c r="B1125" t="s">
        <v>38</v>
      </c>
      <c r="C1125">
        <v>9</v>
      </c>
      <c r="D1125" s="3">
        <v>8.3699999999999992</v>
      </c>
      <c r="E1125" s="3">
        <v>75.33</v>
      </c>
      <c r="F1125">
        <v>13</v>
      </c>
      <c r="G1125">
        <v>5</v>
      </c>
      <c r="H1125" s="4">
        <v>2.5</v>
      </c>
      <c r="I1125" t="s">
        <v>33</v>
      </c>
      <c r="J1125" t="s">
        <v>33</v>
      </c>
      <c r="L1125">
        <f t="shared" si="34"/>
        <v>2020</v>
      </c>
      <c r="M1125" t="str">
        <f t="shared" si="35"/>
        <v>COVID Period</v>
      </c>
    </row>
    <row r="1126" spans="1:13" x14ac:dyDescent="0.25">
      <c r="A1126" s="2">
        <v>44074</v>
      </c>
      <c r="B1126" t="s">
        <v>39</v>
      </c>
      <c r="C1126">
        <v>20</v>
      </c>
      <c r="D1126" s="3">
        <v>11.52</v>
      </c>
      <c r="E1126" s="3">
        <v>230.4</v>
      </c>
      <c r="F1126">
        <v>27</v>
      </c>
      <c r="G1126">
        <v>8</v>
      </c>
      <c r="H1126" s="4">
        <v>0</v>
      </c>
      <c r="I1126" t="s">
        <v>33</v>
      </c>
      <c r="J1126" t="s">
        <v>33</v>
      </c>
      <c r="L1126">
        <f t="shared" si="34"/>
        <v>2020</v>
      </c>
      <c r="M1126" t="str">
        <f t="shared" si="35"/>
        <v>COVID Period</v>
      </c>
    </row>
    <row r="1127" spans="1:13" x14ac:dyDescent="0.25">
      <c r="A1127" s="2">
        <v>44074</v>
      </c>
      <c r="B1127" t="s">
        <v>40</v>
      </c>
      <c r="C1127">
        <v>45</v>
      </c>
      <c r="D1127" s="3">
        <v>0.63</v>
      </c>
      <c r="E1127" s="3">
        <v>28.35</v>
      </c>
      <c r="F1127">
        <v>54</v>
      </c>
      <c r="G1127">
        <v>15</v>
      </c>
      <c r="H1127" s="4">
        <v>3.5</v>
      </c>
      <c r="I1127" t="s">
        <v>46</v>
      </c>
      <c r="J1127" t="s">
        <v>33</v>
      </c>
      <c r="K1127" t="s">
        <v>47</v>
      </c>
      <c r="L1127">
        <f t="shared" si="34"/>
        <v>2020</v>
      </c>
      <c r="M1127" t="str">
        <f t="shared" si="35"/>
        <v>COVID Period</v>
      </c>
    </row>
    <row r="1128" spans="1:13" x14ac:dyDescent="0.25">
      <c r="A1128" s="2">
        <v>44074</v>
      </c>
      <c r="B1128" t="s">
        <v>41</v>
      </c>
      <c r="C1128">
        <v>23</v>
      </c>
      <c r="D1128" s="3">
        <v>1.31</v>
      </c>
      <c r="E1128" s="3">
        <v>30.13</v>
      </c>
      <c r="F1128">
        <v>28</v>
      </c>
      <c r="G1128">
        <v>7</v>
      </c>
      <c r="H1128" s="4">
        <v>3</v>
      </c>
      <c r="I1128" t="s">
        <v>46</v>
      </c>
      <c r="J1128" t="s">
        <v>33</v>
      </c>
      <c r="K1128" t="s">
        <v>47</v>
      </c>
      <c r="L1128">
        <f t="shared" si="34"/>
        <v>2020</v>
      </c>
      <c r="M1128" t="str">
        <f t="shared" si="35"/>
        <v>COVID Period</v>
      </c>
    </row>
    <row r="1129" spans="1:13" x14ac:dyDescent="0.25">
      <c r="A1129" s="2">
        <v>44074</v>
      </c>
      <c r="B1129" t="s">
        <v>42</v>
      </c>
      <c r="C1129">
        <v>35</v>
      </c>
      <c r="D1129" s="3">
        <v>4.25</v>
      </c>
      <c r="E1129" s="3">
        <v>148.75</v>
      </c>
      <c r="F1129">
        <v>51</v>
      </c>
      <c r="G1129">
        <v>23</v>
      </c>
      <c r="H1129" s="4">
        <v>3.7</v>
      </c>
      <c r="I1129" t="s">
        <v>46</v>
      </c>
      <c r="J1129" t="s">
        <v>33</v>
      </c>
      <c r="K1129" t="s">
        <v>47</v>
      </c>
      <c r="L1129">
        <f t="shared" si="34"/>
        <v>2020</v>
      </c>
      <c r="M1129" t="str">
        <f t="shared" si="35"/>
        <v>COVID Period</v>
      </c>
    </row>
    <row r="1130" spans="1:13" x14ac:dyDescent="0.25">
      <c r="A1130" s="2">
        <v>44074</v>
      </c>
      <c r="B1130" t="s">
        <v>43</v>
      </c>
      <c r="C1130">
        <v>19</v>
      </c>
      <c r="D1130" s="3">
        <v>5.35</v>
      </c>
      <c r="E1130" s="3">
        <v>101.65</v>
      </c>
      <c r="F1130">
        <v>27</v>
      </c>
      <c r="G1130">
        <v>8</v>
      </c>
      <c r="H1130" s="4">
        <v>4</v>
      </c>
      <c r="I1130" t="s">
        <v>46</v>
      </c>
      <c r="J1130" t="s">
        <v>33</v>
      </c>
      <c r="L1130">
        <f t="shared" si="34"/>
        <v>2020</v>
      </c>
      <c r="M1130" t="str">
        <f t="shared" si="35"/>
        <v>COVID Period</v>
      </c>
    </row>
    <row r="1131" spans="1:13" x14ac:dyDescent="0.25">
      <c r="A1131" s="2">
        <v>44074</v>
      </c>
      <c r="B1131" t="s">
        <v>44</v>
      </c>
      <c r="C1131">
        <v>0</v>
      </c>
      <c r="D1131" s="3">
        <v>4.71</v>
      </c>
      <c r="E1131" s="3">
        <v>0</v>
      </c>
      <c r="F1131">
        <v>3</v>
      </c>
      <c r="G1131">
        <v>3</v>
      </c>
      <c r="H1131" s="4">
        <v>2.4</v>
      </c>
      <c r="I1131" t="s">
        <v>33</v>
      </c>
      <c r="J1131" t="s">
        <v>33</v>
      </c>
      <c r="L1131">
        <f t="shared" si="34"/>
        <v>2020</v>
      </c>
      <c r="M1131" t="str">
        <f t="shared" si="35"/>
        <v>COVID Period</v>
      </c>
    </row>
    <row r="1132" spans="1:13" x14ac:dyDescent="0.25">
      <c r="A1132" s="2">
        <v>44074</v>
      </c>
      <c r="B1132" t="s">
        <v>45</v>
      </c>
      <c r="C1132">
        <v>1</v>
      </c>
      <c r="D1132" s="3">
        <v>15.25</v>
      </c>
      <c r="E1132" s="3">
        <v>15.25</v>
      </c>
      <c r="F1132">
        <v>3</v>
      </c>
      <c r="G1132">
        <v>2</v>
      </c>
      <c r="H1132" s="4">
        <v>3.2</v>
      </c>
      <c r="I1132" t="s">
        <v>46</v>
      </c>
      <c r="J1132" t="s">
        <v>33</v>
      </c>
      <c r="L1132">
        <f t="shared" si="34"/>
        <v>2020</v>
      </c>
      <c r="M1132" t="str">
        <f t="shared" si="35"/>
        <v>COVID Period</v>
      </c>
    </row>
    <row r="1133" spans="1:13" x14ac:dyDescent="0.25">
      <c r="A1133" s="2">
        <v>44081</v>
      </c>
      <c r="B1133" t="s">
        <v>32</v>
      </c>
      <c r="C1133">
        <v>24</v>
      </c>
      <c r="D1133" s="3">
        <v>6.99</v>
      </c>
      <c r="E1133" s="3">
        <v>167.76</v>
      </c>
      <c r="F1133">
        <v>28</v>
      </c>
      <c r="G1133">
        <v>7</v>
      </c>
      <c r="H1133" s="4">
        <v>1.2</v>
      </c>
      <c r="I1133" t="s">
        <v>33</v>
      </c>
      <c r="J1133" t="s">
        <v>33</v>
      </c>
      <c r="L1133">
        <f t="shared" si="34"/>
        <v>2020</v>
      </c>
      <c r="M1133" t="str">
        <f t="shared" si="35"/>
        <v>COVID Period</v>
      </c>
    </row>
    <row r="1134" spans="1:13" x14ac:dyDescent="0.25">
      <c r="A1134" s="2">
        <v>44081</v>
      </c>
      <c r="B1134" t="s">
        <v>34</v>
      </c>
      <c r="C1134">
        <v>18</v>
      </c>
      <c r="D1134" s="3">
        <v>7.25</v>
      </c>
      <c r="E1134" s="3">
        <v>130.5</v>
      </c>
      <c r="F1134">
        <v>29</v>
      </c>
      <c r="G1134">
        <v>12</v>
      </c>
      <c r="H1134" s="4">
        <v>0.1</v>
      </c>
      <c r="I1134" t="s">
        <v>33</v>
      </c>
      <c r="J1134" t="s">
        <v>33</v>
      </c>
      <c r="L1134">
        <f t="shared" si="34"/>
        <v>2020</v>
      </c>
      <c r="M1134" t="str">
        <f t="shared" si="35"/>
        <v>COVID Period</v>
      </c>
    </row>
    <row r="1135" spans="1:13" x14ac:dyDescent="0.25">
      <c r="A1135" s="2">
        <v>44081</v>
      </c>
      <c r="B1135" t="s">
        <v>35</v>
      </c>
      <c r="C1135">
        <v>11</v>
      </c>
      <c r="D1135" s="3">
        <v>5.75</v>
      </c>
      <c r="E1135" s="3">
        <v>63.25</v>
      </c>
      <c r="F1135">
        <v>15</v>
      </c>
      <c r="G1135">
        <v>5</v>
      </c>
      <c r="H1135" s="4">
        <v>1.3</v>
      </c>
      <c r="I1135" t="s">
        <v>33</v>
      </c>
      <c r="J1135" t="s">
        <v>33</v>
      </c>
      <c r="L1135">
        <f t="shared" si="34"/>
        <v>2020</v>
      </c>
      <c r="M1135" t="str">
        <f t="shared" si="35"/>
        <v>COVID Period</v>
      </c>
    </row>
    <row r="1136" spans="1:13" x14ac:dyDescent="0.25">
      <c r="A1136" s="2">
        <v>44081</v>
      </c>
      <c r="B1136" t="s">
        <v>36</v>
      </c>
      <c r="C1136">
        <v>12</v>
      </c>
      <c r="D1136" s="3">
        <v>6.35</v>
      </c>
      <c r="E1136" s="3">
        <v>76.2</v>
      </c>
      <c r="F1136">
        <v>17</v>
      </c>
      <c r="G1136">
        <v>6</v>
      </c>
      <c r="H1136" s="4">
        <v>1.6</v>
      </c>
      <c r="I1136" t="s">
        <v>33</v>
      </c>
      <c r="J1136" t="s">
        <v>33</v>
      </c>
      <c r="L1136">
        <f t="shared" si="34"/>
        <v>2020</v>
      </c>
      <c r="M1136" t="str">
        <f t="shared" si="35"/>
        <v>COVID Period</v>
      </c>
    </row>
    <row r="1137" spans="1:13" x14ac:dyDescent="0.25">
      <c r="A1137" s="2">
        <v>44081</v>
      </c>
      <c r="B1137" t="s">
        <v>37</v>
      </c>
      <c r="C1137">
        <v>22</v>
      </c>
      <c r="D1137" s="3">
        <v>3.08</v>
      </c>
      <c r="E1137" s="3">
        <v>67.760000000000005</v>
      </c>
      <c r="F1137">
        <v>34</v>
      </c>
      <c r="G1137">
        <v>16</v>
      </c>
      <c r="H1137" s="4">
        <v>1</v>
      </c>
      <c r="I1137" t="s">
        <v>33</v>
      </c>
      <c r="J1137" t="s">
        <v>33</v>
      </c>
      <c r="L1137">
        <f t="shared" si="34"/>
        <v>2020</v>
      </c>
      <c r="M1137" t="str">
        <f t="shared" si="35"/>
        <v>COVID Period</v>
      </c>
    </row>
    <row r="1138" spans="1:13" x14ac:dyDescent="0.25">
      <c r="A1138" s="2">
        <v>44081</v>
      </c>
      <c r="B1138" t="s">
        <v>38</v>
      </c>
      <c r="C1138">
        <v>16</v>
      </c>
      <c r="D1138" s="3">
        <v>8.2200000000000006</v>
      </c>
      <c r="E1138" s="3">
        <v>131.52000000000001</v>
      </c>
      <c r="F1138">
        <v>19</v>
      </c>
      <c r="G1138">
        <v>5</v>
      </c>
      <c r="H1138" s="4">
        <v>1.2</v>
      </c>
      <c r="I1138" t="s">
        <v>33</v>
      </c>
      <c r="J1138" t="s">
        <v>33</v>
      </c>
      <c r="L1138">
        <f t="shared" si="34"/>
        <v>2020</v>
      </c>
      <c r="M1138" t="str">
        <f t="shared" si="35"/>
        <v>COVID Period</v>
      </c>
    </row>
    <row r="1139" spans="1:13" x14ac:dyDescent="0.25">
      <c r="A1139" s="2">
        <v>44081</v>
      </c>
      <c r="B1139" t="s">
        <v>39</v>
      </c>
      <c r="C1139">
        <v>24</v>
      </c>
      <c r="D1139" s="3">
        <v>11.26</v>
      </c>
      <c r="E1139" s="3">
        <v>270.24</v>
      </c>
      <c r="F1139">
        <v>34</v>
      </c>
      <c r="G1139">
        <v>12</v>
      </c>
      <c r="H1139" s="4">
        <v>2.1</v>
      </c>
      <c r="I1139" t="s">
        <v>33</v>
      </c>
      <c r="J1139" t="s">
        <v>33</v>
      </c>
      <c r="L1139">
        <f t="shared" si="34"/>
        <v>2020</v>
      </c>
      <c r="M1139" t="str">
        <f t="shared" si="35"/>
        <v>COVID Period</v>
      </c>
    </row>
    <row r="1140" spans="1:13" x14ac:dyDescent="0.25">
      <c r="A1140" s="2">
        <v>44081</v>
      </c>
      <c r="B1140" t="s">
        <v>40</v>
      </c>
      <c r="C1140">
        <v>42</v>
      </c>
      <c r="D1140" s="3">
        <v>0.64</v>
      </c>
      <c r="E1140" s="3">
        <v>26.88</v>
      </c>
      <c r="F1140">
        <v>60</v>
      </c>
      <c r="G1140">
        <v>19</v>
      </c>
      <c r="H1140" s="4">
        <v>3.1</v>
      </c>
      <c r="I1140" t="s">
        <v>46</v>
      </c>
      <c r="J1140" t="s">
        <v>33</v>
      </c>
      <c r="K1140" t="s">
        <v>47</v>
      </c>
      <c r="L1140">
        <f t="shared" si="34"/>
        <v>2020</v>
      </c>
      <c r="M1140" t="str">
        <f t="shared" si="35"/>
        <v>COVID Period</v>
      </c>
    </row>
    <row r="1141" spans="1:13" x14ac:dyDescent="0.25">
      <c r="A1141" s="2">
        <v>44081</v>
      </c>
      <c r="B1141" t="s">
        <v>41</v>
      </c>
      <c r="C1141">
        <v>27</v>
      </c>
      <c r="D1141" s="3">
        <v>1.38</v>
      </c>
      <c r="E1141" s="3">
        <v>37.26</v>
      </c>
      <c r="F1141">
        <v>44</v>
      </c>
      <c r="G1141">
        <v>19</v>
      </c>
      <c r="H1141" s="4">
        <v>4.0999999999999996</v>
      </c>
      <c r="I1141" t="s">
        <v>46</v>
      </c>
      <c r="J1141" t="s">
        <v>33</v>
      </c>
      <c r="K1141" t="s">
        <v>47</v>
      </c>
      <c r="L1141">
        <f t="shared" si="34"/>
        <v>2020</v>
      </c>
      <c r="M1141" t="str">
        <f t="shared" si="35"/>
        <v>COVID Period</v>
      </c>
    </row>
    <row r="1142" spans="1:13" x14ac:dyDescent="0.25">
      <c r="A1142" s="2">
        <v>44081</v>
      </c>
      <c r="B1142" t="s">
        <v>42</v>
      </c>
      <c r="C1142">
        <v>29</v>
      </c>
      <c r="D1142" s="3">
        <v>4.26</v>
      </c>
      <c r="E1142" s="3">
        <v>123.54</v>
      </c>
      <c r="F1142">
        <v>37</v>
      </c>
      <c r="G1142">
        <v>15</v>
      </c>
      <c r="H1142" s="4">
        <v>3.7</v>
      </c>
      <c r="I1142" t="s">
        <v>46</v>
      </c>
      <c r="J1142" t="s">
        <v>33</v>
      </c>
      <c r="K1142" t="s">
        <v>47</v>
      </c>
      <c r="L1142">
        <f t="shared" si="34"/>
        <v>2020</v>
      </c>
      <c r="M1142" t="str">
        <f t="shared" si="35"/>
        <v>COVID Period</v>
      </c>
    </row>
    <row r="1143" spans="1:13" x14ac:dyDescent="0.25">
      <c r="A1143" s="2">
        <v>44081</v>
      </c>
      <c r="B1143" t="s">
        <v>43</v>
      </c>
      <c r="C1143">
        <v>19</v>
      </c>
      <c r="D1143" s="3">
        <v>5.42</v>
      </c>
      <c r="E1143" s="3">
        <v>102.98</v>
      </c>
      <c r="F1143">
        <v>23</v>
      </c>
      <c r="G1143">
        <v>6</v>
      </c>
      <c r="H1143" s="4">
        <v>0.6</v>
      </c>
      <c r="I1143" t="s">
        <v>46</v>
      </c>
      <c r="J1143" t="s">
        <v>33</v>
      </c>
      <c r="L1143">
        <f t="shared" si="34"/>
        <v>2020</v>
      </c>
      <c r="M1143" t="str">
        <f t="shared" si="35"/>
        <v>COVID Period</v>
      </c>
    </row>
    <row r="1144" spans="1:13" x14ac:dyDescent="0.25">
      <c r="A1144" s="2">
        <v>44081</v>
      </c>
      <c r="B1144" t="s">
        <v>44</v>
      </c>
      <c r="C1144">
        <v>0</v>
      </c>
      <c r="D1144" s="3">
        <v>4.7300000000000004</v>
      </c>
      <c r="E1144" s="3">
        <v>0</v>
      </c>
      <c r="F1144">
        <v>3</v>
      </c>
      <c r="G1144">
        <v>3</v>
      </c>
      <c r="H1144" s="4">
        <v>4.2</v>
      </c>
      <c r="I1144" t="s">
        <v>33</v>
      </c>
      <c r="J1144" t="s">
        <v>33</v>
      </c>
      <c r="L1144">
        <f t="shared" si="34"/>
        <v>2020</v>
      </c>
      <c r="M1144" t="str">
        <f t="shared" si="35"/>
        <v>COVID Period</v>
      </c>
    </row>
    <row r="1145" spans="1:13" x14ac:dyDescent="0.25">
      <c r="A1145" s="2">
        <v>44081</v>
      </c>
      <c r="B1145" t="s">
        <v>45</v>
      </c>
      <c r="C1145">
        <v>2</v>
      </c>
      <c r="D1145" s="3">
        <v>14.76</v>
      </c>
      <c r="E1145" s="3">
        <v>29.52</v>
      </c>
      <c r="F1145">
        <v>3</v>
      </c>
      <c r="G1145">
        <v>1</v>
      </c>
      <c r="H1145" s="4">
        <v>3.1</v>
      </c>
      <c r="I1145" t="s">
        <v>46</v>
      </c>
      <c r="J1145" t="s">
        <v>33</v>
      </c>
      <c r="L1145">
        <f t="shared" si="34"/>
        <v>2020</v>
      </c>
      <c r="M1145" t="str">
        <f t="shared" si="35"/>
        <v>COVID Period</v>
      </c>
    </row>
    <row r="1146" spans="1:13" x14ac:dyDescent="0.25">
      <c r="A1146" s="2">
        <v>44088</v>
      </c>
      <c r="B1146" t="s">
        <v>32</v>
      </c>
      <c r="C1146">
        <v>15</v>
      </c>
      <c r="D1146" s="3">
        <v>7.11</v>
      </c>
      <c r="E1146" s="3">
        <v>106.65</v>
      </c>
      <c r="F1146">
        <v>20</v>
      </c>
      <c r="G1146">
        <v>7</v>
      </c>
      <c r="H1146" s="4">
        <v>2.7</v>
      </c>
      <c r="I1146" t="s">
        <v>33</v>
      </c>
      <c r="J1146" t="s">
        <v>33</v>
      </c>
      <c r="L1146">
        <f t="shared" si="34"/>
        <v>2020</v>
      </c>
      <c r="M1146" t="str">
        <f t="shared" si="35"/>
        <v>COVID Period</v>
      </c>
    </row>
    <row r="1147" spans="1:13" x14ac:dyDescent="0.25">
      <c r="A1147" s="2">
        <v>44088</v>
      </c>
      <c r="B1147" t="s">
        <v>34</v>
      </c>
      <c r="C1147">
        <v>12</v>
      </c>
      <c r="D1147" s="3">
        <v>7.13</v>
      </c>
      <c r="E1147" s="3">
        <v>85.56</v>
      </c>
      <c r="F1147">
        <v>14</v>
      </c>
      <c r="G1147">
        <v>3</v>
      </c>
      <c r="H1147" s="4">
        <v>2</v>
      </c>
      <c r="I1147" t="s">
        <v>33</v>
      </c>
      <c r="J1147" t="s">
        <v>33</v>
      </c>
      <c r="L1147">
        <f t="shared" si="34"/>
        <v>2020</v>
      </c>
      <c r="M1147" t="str">
        <f t="shared" si="35"/>
        <v>COVID Period</v>
      </c>
    </row>
    <row r="1148" spans="1:13" x14ac:dyDescent="0.25">
      <c r="A1148" s="2">
        <v>44088</v>
      </c>
      <c r="B1148" t="s">
        <v>35</v>
      </c>
      <c r="C1148">
        <v>13</v>
      </c>
      <c r="D1148" s="3">
        <v>5.93</v>
      </c>
      <c r="E1148" s="3">
        <v>77.09</v>
      </c>
      <c r="F1148">
        <v>17</v>
      </c>
      <c r="G1148">
        <v>7</v>
      </c>
      <c r="H1148" s="4">
        <v>1.4</v>
      </c>
      <c r="I1148" t="s">
        <v>33</v>
      </c>
      <c r="J1148" t="s">
        <v>33</v>
      </c>
      <c r="L1148">
        <f t="shared" si="34"/>
        <v>2020</v>
      </c>
      <c r="M1148" t="str">
        <f t="shared" si="35"/>
        <v>COVID Period</v>
      </c>
    </row>
    <row r="1149" spans="1:13" x14ac:dyDescent="0.25">
      <c r="A1149" s="2">
        <v>44088</v>
      </c>
      <c r="B1149" t="s">
        <v>36</v>
      </c>
      <c r="C1149">
        <v>11</v>
      </c>
      <c r="D1149" s="3">
        <v>6.15</v>
      </c>
      <c r="E1149" s="3">
        <v>67.650000000000006</v>
      </c>
      <c r="F1149">
        <v>12</v>
      </c>
      <c r="G1149">
        <v>2</v>
      </c>
      <c r="H1149" s="4">
        <v>1.1000000000000001</v>
      </c>
      <c r="I1149" t="s">
        <v>33</v>
      </c>
      <c r="J1149" t="s">
        <v>33</v>
      </c>
      <c r="L1149">
        <f t="shared" si="34"/>
        <v>2020</v>
      </c>
      <c r="M1149" t="str">
        <f t="shared" si="35"/>
        <v>COVID Period</v>
      </c>
    </row>
    <row r="1150" spans="1:13" x14ac:dyDescent="0.25">
      <c r="A1150" s="2">
        <v>44088</v>
      </c>
      <c r="B1150" t="s">
        <v>37</v>
      </c>
      <c r="C1150">
        <v>28</v>
      </c>
      <c r="D1150" s="3">
        <v>3.18</v>
      </c>
      <c r="E1150" s="3">
        <v>89.04</v>
      </c>
      <c r="F1150">
        <v>39</v>
      </c>
      <c r="G1150">
        <v>15</v>
      </c>
      <c r="H1150" s="4">
        <v>2</v>
      </c>
      <c r="I1150" t="s">
        <v>33</v>
      </c>
      <c r="J1150" t="s">
        <v>33</v>
      </c>
      <c r="L1150">
        <f t="shared" si="34"/>
        <v>2020</v>
      </c>
      <c r="M1150" t="str">
        <f t="shared" si="35"/>
        <v>COVID Period</v>
      </c>
    </row>
    <row r="1151" spans="1:13" x14ac:dyDescent="0.25">
      <c r="A1151" s="2">
        <v>44088</v>
      </c>
      <c r="B1151" t="s">
        <v>38</v>
      </c>
      <c r="C1151">
        <v>15</v>
      </c>
      <c r="D1151" s="3">
        <v>8.36</v>
      </c>
      <c r="E1151" s="3">
        <v>125.4</v>
      </c>
      <c r="F1151">
        <v>19</v>
      </c>
      <c r="G1151">
        <v>7</v>
      </c>
      <c r="H1151" s="4">
        <v>0.8</v>
      </c>
      <c r="I1151" t="s">
        <v>33</v>
      </c>
      <c r="J1151" t="s">
        <v>33</v>
      </c>
      <c r="L1151">
        <f t="shared" si="34"/>
        <v>2020</v>
      </c>
      <c r="M1151" t="str">
        <f t="shared" si="35"/>
        <v>COVID Period</v>
      </c>
    </row>
    <row r="1152" spans="1:13" x14ac:dyDescent="0.25">
      <c r="A1152" s="2">
        <v>44088</v>
      </c>
      <c r="B1152" t="s">
        <v>39</v>
      </c>
      <c r="C1152">
        <v>14</v>
      </c>
      <c r="D1152" s="3">
        <v>12</v>
      </c>
      <c r="E1152" s="3">
        <v>168</v>
      </c>
      <c r="F1152">
        <v>17</v>
      </c>
      <c r="G1152">
        <v>4</v>
      </c>
      <c r="H1152" s="4">
        <v>2</v>
      </c>
      <c r="I1152" t="s">
        <v>33</v>
      </c>
      <c r="J1152" t="s">
        <v>33</v>
      </c>
      <c r="L1152">
        <f t="shared" si="34"/>
        <v>2020</v>
      </c>
      <c r="M1152" t="str">
        <f t="shared" si="35"/>
        <v>COVID Period</v>
      </c>
    </row>
    <row r="1153" spans="1:13" x14ac:dyDescent="0.25">
      <c r="A1153" s="2">
        <v>44088</v>
      </c>
      <c r="B1153" t="s">
        <v>40</v>
      </c>
      <c r="C1153">
        <v>46</v>
      </c>
      <c r="D1153" s="3">
        <v>0.65</v>
      </c>
      <c r="E1153" s="3">
        <v>29.9</v>
      </c>
      <c r="F1153">
        <v>76</v>
      </c>
      <c r="G1153">
        <v>31</v>
      </c>
      <c r="H1153" s="4">
        <v>5.7</v>
      </c>
      <c r="I1153" t="s">
        <v>46</v>
      </c>
      <c r="J1153" t="s">
        <v>33</v>
      </c>
      <c r="K1153" t="s">
        <v>47</v>
      </c>
      <c r="L1153">
        <f t="shared" si="34"/>
        <v>2020</v>
      </c>
      <c r="M1153" t="str">
        <f t="shared" si="35"/>
        <v>COVID Period</v>
      </c>
    </row>
    <row r="1154" spans="1:13" x14ac:dyDescent="0.25">
      <c r="A1154" s="2">
        <v>44088</v>
      </c>
      <c r="B1154" t="s">
        <v>41</v>
      </c>
      <c r="C1154">
        <v>30</v>
      </c>
      <c r="D1154" s="3">
        <v>1.37</v>
      </c>
      <c r="E1154" s="3">
        <v>41.1</v>
      </c>
      <c r="F1154">
        <v>41</v>
      </c>
      <c r="G1154">
        <v>14</v>
      </c>
      <c r="H1154" s="4">
        <v>4.5</v>
      </c>
      <c r="I1154" t="s">
        <v>46</v>
      </c>
      <c r="J1154" t="s">
        <v>33</v>
      </c>
      <c r="K1154" t="s">
        <v>47</v>
      </c>
      <c r="L1154">
        <f t="shared" ref="L1154:L1217" si="36">YEAR(A1154)</f>
        <v>2020</v>
      </c>
      <c r="M1154" t="str">
        <f t="shared" ref="M1154:M1217" si="37">IF(L1154=2019,"Pre-COVID","COVID Period")</f>
        <v>COVID Period</v>
      </c>
    </row>
    <row r="1155" spans="1:13" x14ac:dyDescent="0.25">
      <c r="A1155" s="2">
        <v>44088</v>
      </c>
      <c r="B1155" t="s">
        <v>42</v>
      </c>
      <c r="C1155">
        <v>36</v>
      </c>
      <c r="D1155" s="3">
        <v>4.2</v>
      </c>
      <c r="E1155" s="3">
        <v>151.19999999999999</v>
      </c>
      <c r="F1155">
        <v>43</v>
      </c>
      <c r="G1155">
        <v>10</v>
      </c>
      <c r="H1155" s="4">
        <v>3.4</v>
      </c>
      <c r="I1155" t="s">
        <v>46</v>
      </c>
      <c r="J1155" t="s">
        <v>33</v>
      </c>
      <c r="K1155" t="s">
        <v>47</v>
      </c>
      <c r="L1155">
        <f t="shared" si="36"/>
        <v>2020</v>
      </c>
      <c r="M1155" t="str">
        <f t="shared" si="37"/>
        <v>COVID Period</v>
      </c>
    </row>
    <row r="1156" spans="1:13" x14ac:dyDescent="0.25">
      <c r="A1156" s="2">
        <v>44088</v>
      </c>
      <c r="B1156" t="s">
        <v>43</v>
      </c>
      <c r="C1156">
        <v>20</v>
      </c>
      <c r="D1156" s="3">
        <v>5.4</v>
      </c>
      <c r="E1156" s="3">
        <v>108</v>
      </c>
      <c r="F1156">
        <v>31</v>
      </c>
      <c r="G1156">
        <v>11</v>
      </c>
      <c r="H1156" s="4">
        <v>4.2</v>
      </c>
      <c r="I1156" t="s">
        <v>46</v>
      </c>
      <c r="J1156" t="s">
        <v>33</v>
      </c>
      <c r="L1156">
        <f t="shared" si="36"/>
        <v>2020</v>
      </c>
      <c r="M1156" t="str">
        <f t="shared" si="37"/>
        <v>COVID Period</v>
      </c>
    </row>
    <row r="1157" spans="1:13" x14ac:dyDescent="0.25">
      <c r="A1157" s="2">
        <v>44088</v>
      </c>
      <c r="B1157" t="s">
        <v>44</v>
      </c>
      <c r="C1157">
        <v>0</v>
      </c>
      <c r="D1157" s="3">
        <v>4.99</v>
      </c>
      <c r="E1157" s="3">
        <v>0</v>
      </c>
      <c r="F1157">
        <v>3</v>
      </c>
      <c r="G1157">
        <v>3</v>
      </c>
      <c r="H1157" s="4">
        <v>3.2</v>
      </c>
      <c r="I1157" t="s">
        <v>33</v>
      </c>
      <c r="J1157" t="s">
        <v>33</v>
      </c>
      <c r="L1157">
        <f t="shared" si="36"/>
        <v>2020</v>
      </c>
      <c r="M1157" t="str">
        <f t="shared" si="37"/>
        <v>COVID Period</v>
      </c>
    </row>
    <row r="1158" spans="1:13" x14ac:dyDescent="0.25">
      <c r="A1158" s="2">
        <v>44088</v>
      </c>
      <c r="B1158" t="s">
        <v>45</v>
      </c>
      <c r="C1158">
        <v>0</v>
      </c>
      <c r="D1158" s="3">
        <v>15.58</v>
      </c>
      <c r="E1158" s="3">
        <v>0</v>
      </c>
      <c r="F1158">
        <v>3</v>
      </c>
      <c r="G1158">
        <v>3</v>
      </c>
      <c r="H1158" s="4">
        <v>2.6</v>
      </c>
      <c r="I1158" t="s">
        <v>46</v>
      </c>
      <c r="J1158" t="s">
        <v>33</v>
      </c>
      <c r="L1158">
        <f t="shared" si="36"/>
        <v>2020</v>
      </c>
      <c r="M1158" t="str">
        <f t="shared" si="37"/>
        <v>COVID Period</v>
      </c>
    </row>
    <row r="1159" spans="1:13" x14ac:dyDescent="0.25">
      <c r="A1159" s="2">
        <v>44095</v>
      </c>
      <c r="B1159" t="s">
        <v>32</v>
      </c>
      <c r="C1159">
        <v>21</v>
      </c>
      <c r="D1159" s="3">
        <v>6.7</v>
      </c>
      <c r="E1159" s="3">
        <v>140.69999999999999</v>
      </c>
      <c r="F1159">
        <v>28</v>
      </c>
      <c r="G1159">
        <v>12</v>
      </c>
      <c r="H1159" s="4">
        <v>0.4</v>
      </c>
      <c r="I1159" t="s">
        <v>33</v>
      </c>
      <c r="J1159" t="s">
        <v>33</v>
      </c>
      <c r="L1159">
        <f t="shared" si="36"/>
        <v>2020</v>
      </c>
      <c r="M1159" t="str">
        <f t="shared" si="37"/>
        <v>COVID Period</v>
      </c>
    </row>
    <row r="1160" spans="1:13" x14ac:dyDescent="0.25">
      <c r="A1160" s="2">
        <v>44095</v>
      </c>
      <c r="B1160" t="s">
        <v>34</v>
      </c>
      <c r="C1160">
        <v>18</v>
      </c>
      <c r="D1160" s="3">
        <v>7.14</v>
      </c>
      <c r="E1160" s="3">
        <v>128.52000000000001</v>
      </c>
      <c r="F1160">
        <v>26</v>
      </c>
      <c r="G1160">
        <v>12</v>
      </c>
      <c r="H1160" s="4">
        <v>1.5</v>
      </c>
      <c r="I1160" t="s">
        <v>33</v>
      </c>
      <c r="J1160" t="s">
        <v>33</v>
      </c>
      <c r="L1160">
        <f t="shared" si="36"/>
        <v>2020</v>
      </c>
      <c r="M1160" t="str">
        <f t="shared" si="37"/>
        <v>COVID Period</v>
      </c>
    </row>
    <row r="1161" spans="1:13" x14ac:dyDescent="0.25">
      <c r="A1161" s="2">
        <v>44095</v>
      </c>
      <c r="B1161" t="s">
        <v>35</v>
      </c>
      <c r="C1161">
        <v>7</v>
      </c>
      <c r="D1161" s="3">
        <v>5.71</v>
      </c>
      <c r="E1161" s="3">
        <v>39.97</v>
      </c>
      <c r="F1161">
        <v>10</v>
      </c>
      <c r="G1161">
        <v>4</v>
      </c>
      <c r="H1161" s="4">
        <v>2.5</v>
      </c>
      <c r="I1161" t="s">
        <v>33</v>
      </c>
      <c r="J1161" t="s">
        <v>33</v>
      </c>
      <c r="L1161">
        <f t="shared" si="36"/>
        <v>2020</v>
      </c>
      <c r="M1161" t="str">
        <f t="shared" si="37"/>
        <v>COVID Period</v>
      </c>
    </row>
    <row r="1162" spans="1:13" x14ac:dyDescent="0.25">
      <c r="A1162" s="2">
        <v>44095</v>
      </c>
      <c r="B1162" t="s">
        <v>36</v>
      </c>
      <c r="C1162">
        <v>11</v>
      </c>
      <c r="D1162" s="3">
        <v>6.37</v>
      </c>
      <c r="E1162" s="3">
        <v>70.069999999999993</v>
      </c>
      <c r="F1162">
        <v>13</v>
      </c>
      <c r="G1162">
        <v>4</v>
      </c>
      <c r="H1162" s="4">
        <v>1.3</v>
      </c>
      <c r="I1162" t="s">
        <v>33</v>
      </c>
      <c r="J1162" t="s">
        <v>33</v>
      </c>
      <c r="L1162">
        <f t="shared" si="36"/>
        <v>2020</v>
      </c>
      <c r="M1162" t="str">
        <f t="shared" si="37"/>
        <v>COVID Period</v>
      </c>
    </row>
    <row r="1163" spans="1:13" x14ac:dyDescent="0.25">
      <c r="A1163" s="2">
        <v>44095</v>
      </c>
      <c r="B1163" t="s">
        <v>37</v>
      </c>
      <c r="C1163">
        <v>26</v>
      </c>
      <c r="D1163" s="3">
        <v>3.17</v>
      </c>
      <c r="E1163" s="3">
        <v>82.42</v>
      </c>
      <c r="F1163">
        <v>39</v>
      </c>
      <c r="G1163">
        <v>19</v>
      </c>
      <c r="H1163" s="4">
        <v>1.9</v>
      </c>
      <c r="I1163" t="s">
        <v>33</v>
      </c>
      <c r="J1163" t="s">
        <v>33</v>
      </c>
      <c r="L1163">
        <f t="shared" si="36"/>
        <v>2020</v>
      </c>
      <c r="M1163" t="str">
        <f t="shared" si="37"/>
        <v>COVID Period</v>
      </c>
    </row>
    <row r="1164" spans="1:13" x14ac:dyDescent="0.25">
      <c r="A1164" s="2">
        <v>44095</v>
      </c>
      <c r="B1164" t="s">
        <v>38</v>
      </c>
      <c r="C1164">
        <v>11</v>
      </c>
      <c r="D1164" s="3">
        <v>8.89</v>
      </c>
      <c r="E1164" s="3">
        <v>97.79</v>
      </c>
      <c r="F1164">
        <v>16</v>
      </c>
      <c r="G1164">
        <v>6</v>
      </c>
      <c r="H1164" s="4">
        <v>0.1</v>
      </c>
      <c r="I1164" t="s">
        <v>33</v>
      </c>
      <c r="J1164" t="s">
        <v>33</v>
      </c>
      <c r="L1164">
        <f t="shared" si="36"/>
        <v>2020</v>
      </c>
      <c r="M1164" t="str">
        <f t="shared" si="37"/>
        <v>COVID Period</v>
      </c>
    </row>
    <row r="1165" spans="1:13" x14ac:dyDescent="0.25">
      <c r="A1165" s="2">
        <v>44095</v>
      </c>
      <c r="B1165" t="s">
        <v>39</v>
      </c>
      <c r="C1165">
        <v>17</v>
      </c>
      <c r="D1165" s="3">
        <v>11.91</v>
      </c>
      <c r="E1165" s="3">
        <v>202.47</v>
      </c>
      <c r="F1165">
        <v>19</v>
      </c>
      <c r="G1165">
        <v>5</v>
      </c>
      <c r="H1165" s="4">
        <v>0.7</v>
      </c>
      <c r="I1165" t="s">
        <v>33</v>
      </c>
      <c r="J1165" t="s">
        <v>33</v>
      </c>
      <c r="L1165">
        <f t="shared" si="36"/>
        <v>2020</v>
      </c>
      <c r="M1165" t="str">
        <f t="shared" si="37"/>
        <v>COVID Period</v>
      </c>
    </row>
    <row r="1166" spans="1:13" x14ac:dyDescent="0.25">
      <c r="A1166" s="2">
        <v>44095</v>
      </c>
      <c r="B1166" t="s">
        <v>40</v>
      </c>
      <c r="C1166">
        <v>43</v>
      </c>
      <c r="D1166" s="3">
        <v>0.66</v>
      </c>
      <c r="E1166" s="3">
        <v>28.38</v>
      </c>
      <c r="F1166">
        <v>61</v>
      </c>
      <c r="G1166">
        <v>26</v>
      </c>
      <c r="H1166" s="4">
        <v>5.0999999999999996</v>
      </c>
      <c r="I1166" t="s">
        <v>46</v>
      </c>
      <c r="J1166" t="s">
        <v>33</v>
      </c>
      <c r="K1166" t="s">
        <v>47</v>
      </c>
      <c r="L1166">
        <f t="shared" si="36"/>
        <v>2020</v>
      </c>
      <c r="M1166" t="str">
        <f t="shared" si="37"/>
        <v>COVID Period</v>
      </c>
    </row>
    <row r="1167" spans="1:13" x14ac:dyDescent="0.25">
      <c r="A1167" s="2">
        <v>44095</v>
      </c>
      <c r="B1167" t="s">
        <v>41</v>
      </c>
      <c r="C1167">
        <v>23</v>
      </c>
      <c r="D1167" s="3">
        <v>1.39</v>
      </c>
      <c r="E1167" s="3">
        <v>31.97</v>
      </c>
      <c r="F1167">
        <v>29</v>
      </c>
      <c r="G1167">
        <v>11</v>
      </c>
      <c r="H1167" s="4">
        <v>3.9</v>
      </c>
      <c r="I1167" t="s">
        <v>46</v>
      </c>
      <c r="J1167" t="s">
        <v>33</v>
      </c>
      <c r="K1167" t="s">
        <v>47</v>
      </c>
      <c r="L1167">
        <f t="shared" si="36"/>
        <v>2020</v>
      </c>
      <c r="M1167" t="str">
        <f t="shared" si="37"/>
        <v>COVID Period</v>
      </c>
    </row>
    <row r="1168" spans="1:13" x14ac:dyDescent="0.25">
      <c r="A1168" s="2">
        <v>44095</v>
      </c>
      <c r="B1168" t="s">
        <v>42</v>
      </c>
      <c r="C1168">
        <v>39</v>
      </c>
      <c r="D1168" s="3">
        <v>4.25</v>
      </c>
      <c r="E1168" s="3">
        <v>165.75</v>
      </c>
      <c r="F1168">
        <v>58</v>
      </c>
      <c r="G1168">
        <v>26</v>
      </c>
      <c r="H1168" s="4">
        <v>1.8</v>
      </c>
      <c r="I1168" t="s">
        <v>46</v>
      </c>
      <c r="J1168" t="s">
        <v>33</v>
      </c>
      <c r="K1168" t="s">
        <v>47</v>
      </c>
      <c r="L1168">
        <f t="shared" si="36"/>
        <v>2020</v>
      </c>
      <c r="M1168" t="str">
        <f t="shared" si="37"/>
        <v>COVID Period</v>
      </c>
    </row>
    <row r="1169" spans="1:13" x14ac:dyDescent="0.25">
      <c r="A1169" s="2">
        <v>44095</v>
      </c>
      <c r="B1169" t="s">
        <v>43</v>
      </c>
      <c r="C1169">
        <v>15</v>
      </c>
      <c r="D1169" s="3">
        <v>5.65</v>
      </c>
      <c r="E1169" s="3">
        <v>84.75</v>
      </c>
      <c r="F1169">
        <v>16</v>
      </c>
      <c r="G1169">
        <v>3</v>
      </c>
      <c r="H1169" s="4">
        <v>4.7</v>
      </c>
      <c r="I1169" t="s">
        <v>46</v>
      </c>
      <c r="J1169" t="s">
        <v>33</v>
      </c>
      <c r="L1169">
        <f t="shared" si="36"/>
        <v>2020</v>
      </c>
      <c r="M1169" t="str">
        <f t="shared" si="37"/>
        <v>COVID Period</v>
      </c>
    </row>
    <row r="1170" spans="1:13" x14ac:dyDescent="0.25">
      <c r="A1170" s="2">
        <v>44095</v>
      </c>
      <c r="B1170" t="s">
        <v>44</v>
      </c>
      <c r="C1170">
        <v>0</v>
      </c>
      <c r="D1170" s="3">
        <v>4.9400000000000004</v>
      </c>
      <c r="E1170" s="3">
        <v>0</v>
      </c>
      <c r="F1170">
        <v>3</v>
      </c>
      <c r="G1170">
        <v>3</v>
      </c>
      <c r="H1170" s="4">
        <v>1.6</v>
      </c>
      <c r="I1170" t="s">
        <v>33</v>
      </c>
      <c r="J1170" t="s">
        <v>33</v>
      </c>
      <c r="L1170">
        <f t="shared" si="36"/>
        <v>2020</v>
      </c>
      <c r="M1170" t="str">
        <f t="shared" si="37"/>
        <v>COVID Period</v>
      </c>
    </row>
    <row r="1171" spans="1:13" x14ac:dyDescent="0.25">
      <c r="A1171" s="2">
        <v>44095</v>
      </c>
      <c r="B1171" t="s">
        <v>45</v>
      </c>
      <c r="C1171">
        <v>0</v>
      </c>
      <c r="D1171" s="3">
        <v>14.4</v>
      </c>
      <c r="E1171" s="3">
        <v>0</v>
      </c>
      <c r="F1171">
        <v>3</v>
      </c>
      <c r="G1171">
        <v>3</v>
      </c>
      <c r="H1171" s="4">
        <v>3</v>
      </c>
      <c r="I1171" t="s">
        <v>46</v>
      </c>
      <c r="J1171" t="s">
        <v>33</v>
      </c>
      <c r="L1171">
        <f t="shared" si="36"/>
        <v>2020</v>
      </c>
      <c r="M1171" t="str">
        <f t="shared" si="37"/>
        <v>COVID Period</v>
      </c>
    </row>
    <row r="1172" spans="1:13" x14ac:dyDescent="0.25">
      <c r="A1172" s="2">
        <v>44102</v>
      </c>
      <c r="B1172" t="s">
        <v>32</v>
      </c>
      <c r="C1172">
        <v>18</v>
      </c>
      <c r="D1172" s="3">
        <v>6.79</v>
      </c>
      <c r="E1172" s="3">
        <v>122.22</v>
      </c>
      <c r="F1172">
        <v>20</v>
      </c>
      <c r="G1172">
        <v>3</v>
      </c>
      <c r="H1172" s="4">
        <v>2.5</v>
      </c>
      <c r="I1172" t="s">
        <v>33</v>
      </c>
      <c r="J1172" t="s">
        <v>33</v>
      </c>
      <c r="L1172">
        <f t="shared" si="36"/>
        <v>2020</v>
      </c>
      <c r="M1172" t="str">
        <f t="shared" si="37"/>
        <v>COVID Period</v>
      </c>
    </row>
    <row r="1173" spans="1:13" x14ac:dyDescent="0.25">
      <c r="A1173" s="2">
        <v>44102</v>
      </c>
      <c r="B1173" t="s">
        <v>34</v>
      </c>
      <c r="C1173">
        <v>16</v>
      </c>
      <c r="D1173" s="3">
        <v>7.24</v>
      </c>
      <c r="E1173" s="3">
        <v>115.84</v>
      </c>
      <c r="F1173">
        <v>23</v>
      </c>
      <c r="G1173">
        <v>9</v>
      </c>
      <c r="H1173" s="4">
        <v>2</v>
      </c>
      <c r="I1173" t="s">
        <v>33</v>
      </c>
      <c r="J1173" t="s">
        <v>33</v>
      </c>
      <c r="L1173">
        <f t="shared" si="36"/>
        <v>2020</v>
      </c>
      <c r="M1173" t="str">
        <f t="shared" si="37"/>
        <v>COVID Period</v>
      </c>
    </row>
    <row r="1174" spans="1:13" x14ac:dyDescent="0.25">
      <c r="A1174" s="2">
        <v>44102</v>
      </c>
      <c r="B1174" t="s">
        <v>35</v>
      </c>
      <c r="C1174">
        <v>9</v>
      </c>
      <c r="D1174" s="3">
        <v>5.71</v>
      </c>
      <c r="E1174" s="3">
        <v>51.39</v>
      </c>
      <c r="F1174">
        <v>10</v>
      </c>
      <c r="G1174">
        <v>1</v>
      </c>
      <c r="H1174" s="4">
        <v>1.9</v>
      </c>
      <c r="I1174" t="s">
        <v>33</v>
      </c>
      <c r="J1174" t="s">
        <v>33</v>
      </c>
      <c r="L1174">
        <f t="shared" si="36"/>
        <v>2020</v>
      </c>
      <c r="M1174" t="str">
        <f t="shared" si="37"/>
        <v>COVID Period</v>
      </c>
    </row>
    <row r="1175" spans="1:13" x14ac:dyDescent="0.25">
      <c r="A1175" s="2">
        <v>44102</v>
      </c>
      <c r="B1175" t="s">
        <v>36</v>
      </c>
      <c r="C1175">
        <v>11</v>
      </c>
      <c r="D1175" s="3">
        <v>6.27</v>
      </c>
      <c r="E1175" s="3">
        <v>68.97</v>
      </c>
      <c r="F1175">
        <v>13</v>
      </c>
      <c r="G1175">
        <v>3</v>
      </c>
      <c r="H1175" s="4">
        <v>1.6</v>
      </c>
      <c r="I1175" t="s">
        <v>33</v>
      </c>
      <c r="J1175" t="s">
        <v>33</v>
      </c>
      <c r="L1175">
        <f t="shared" si="36"/>
        <v>2020</v>
      </c>
      <c r="M1175" t="str">
        <f t="shared" si="37"/>
        <v>COVID Period</v>
      </c>
    </row>
    <row r="1176" spans="1:13" x14ac:dyDescent="0.25">
      <c r="A1176" s="2">
        <v>44102</v>
      </c>
      <c r="B1176" t="s">
        <v>37</v>
      </c>
      <c r="C1176">
        <v>30</v>
      </c>
      <c r="D1176" s="3">
        <v>3.27</v>
      </c>
      <c r="E1176" s="3">
        <v>98.1</v>
      </c>
      <c r="F1176">
        <v>35</v>
      </c>
      <c r="G1176">
        <v>8</v>
      </c>
      <c r="H1176" s="4">
        <v>1.3</v>
      </c>
      <c r="I1176" t="s">
        <v>33</v>
      </c>
      <c r="J1176" t="s">
        <v>33</v>
      </c>
      <c r="L1176">
        <f t="shared" si="36"/>
        <v>2020</v>
      </c>
      <c r="M1176" t="str">
        <f t="shared" si="37"/>
        <v>COVID Period</v>
      </c>
    </row>
    <row r="1177" spans="1:13" x14ac:dyDescent="0.25">
      <c r="A1177" s="2">
        <v>44102</v>
      </c>
      <c r="B1177" t="s">
        <v>38</v>
      </c>
      <c r="C1177">
        <v>16</v>
      </c>
      <c r="D1177" s="3">
        <v>8.56</v>
      </c>
      <c r="E1177" s="3">
        <v>136.96</v>
      </c>
      <c r="F1177">
        <v>21</v>
      </c>
      <c r="G1177">
        <v>7</v>
      </c>
      <c r="H1177" s="4">
        <v>1.3</v>
      </c>
      <c r="I1177" t="s">
        <v>33</v>
      </c>
      <c r="J1177" t="s">
        <v>33</v>
      </c>
      <c r="L1177">
        <f t="shared" si="36"/>
        <v>2020</v>
      </c>
      <c r="M1177" t="str">
        <f t="shared" si="37"/>
        <v>COVID Period</v>
      </c>
    </row>
    <row r="1178" spans="1:13" x14ac:dyDescent="0.25">
      <c r="A1178" s="2">
        <v>44102</v>
      </c>
      <c r="B1178" t="s">
        <v>39</v>
      </c>
      <c r="C1178">
        <v>28</v>
      </c>
      <c r="D1178" s="3">
        <v>11.31</v>
      </c>
      <c r="E1178" s="3">
        <v>316.68</v>
      </c>
      <c r="F1178">
        <v>36</v>
      </c>
      <c r="G1178">
        <v>11</v>
      </c>
      <c r="H1178" s="4">
        <v>1.4</v>
      </c>
      <c r="I1178" t="s">
        <v>33</v>
      </c>
      <c r="J1178" t="s">
        <v>33</v>
      </c>
      <c r="L1178">
        <f t="shared" si="36"/>
        <v>2020</v>
      </c>
      <c r="M1178" t="str">
        <f t="shared" si="37"/>
        <v>COVID Period</v>
      </c>
    </row>
    <row r="1179" spans="1:13" x14ac:dyDescent="0.25">
      <c r="A1179" s="2">
        <v>44102</v>
      </c>
      <c r="B1179" t="s">
        <v>40</v>
      </c>
      <c r="C1179">
        <v>44</v>
      </c>
      <c r="D1179" s="3">
        <v>0.66</v>
      </c>
      <c r="E1179" s="3">
        <v>29.04</v>
      </c>
      <c r="F1179">
        <v>48</v>
      </c>
      <c r="G1179">
        <v>5</v>
      </c>
      <c r="H1179" s="4">
        <v>2.2000000000000002</v>
      </c>
      <c r="I1179" t="s">
        <v>46</v>
      </c>
      <c r="J1179" t="s">
        <v>33</v>
      </c>
      <c r="K1179" t="s">
        <v>47</v>
      </c>
      <c r="L1179">
        <f t="shared" si="36"/>
        <v>2020</v>
      </c>
      <c r="M1179" t="str">
        <f t="shared" si="37"/>
        <v>COVID Period</v>
      </c>
    </row>
    <row r="1180" spans="1:13" x14ac:dyDescent="0.25">
      <c r="A1180" s="2">
        <v>44102</v>
      </c>
      <c r="B1180" t="s">
        <v>41</v>
      </c>
      <c r="C1180">
        <v>26</v>
      </c>
      <c r="D1180" s="3">
        <v>1.3</v>
      </c>
      <c r="E1180" s="3">
        <v>33.799999999999997</v>
      </c>
      <c r="F1180">
        <v>35</v>
      </c>
      <c r="G1180">
        <v>11</v>
      </c>
      <c r="H1180" s="4">
        <v>4.5</v>
      </c>
      <c r="I1180" t="s">
        <v>46</v>
      </c>
      <c r="J1180" t="s">
        <v>33</v>
      </c>
      <c r="K1180" t="s">
        <v>47</v>
      </c>
      <c r="L1180">
        <f t="shared" si="36"/>
        <v>2020</v>
      </c>
      <c r="M1180" t="str">
        <f t="shared" si="37"/>
        <v>COVID Period</v>
      </c>
    </row>
    <row r="1181" spans="1:13" x14ac:dyDescent="0.25">
      <c r="A1181" s="2">
        <v>44102</v>
      </c>
      <c r="B1181" t="s">
        <v>42</v>
      </c>
      <c r="C1181">
        <v>53</v>
      </c>
      <c r="D1181" s="3">
        <v>4.2300000000000004</v>
      </c>
      <c r="E1181" s="3">
        <v>224.19</v>
      </c>
      <c r="F1181">
        <v>87</v>
      </c>
      <c r="G1181">
        <v>40</v>
      </c>
      <c r="H1181" s="4">
        <v>3.8</v>
      </c>
      <c r="I1181" t="s">
        <v>46</v>
      </c>
      <c r="J1181" t="s">
        <v>33</v>
      </c>
      <c r="K1181" t="s">
        <v>47</v>
      </c>
      <c r="L1181">
        <f t="shared" si="36"/>
        <v>2020</v>
      </c>
      <c r="M1181" t="str">
        <f t="shared" si="37"/>
        <v>COVID Period</v>
      </c>
    </row>
    <row r="1182" spans="1:13" x14ac:dyDescent="0.25">
      <c r="A1182" s="2">
        <v>44102</v>
      </c>
      <c r="B1182" t="s">
        <v>43</v>
      </c>
      <c r="C1182">
        <v>21</v>
      </c>
      <c r="D1182" s="3">
        <v>5.43</v>
      </c>
      <c r="E1182" s="3">
        <v>114.03</v>
      </c>
      <c r="F1182">
        <v>28</v>
      </c>
      <c r="G1182">
        <v>11</v>
      </c>
      <c r="H1182" s="4">
        <v>4.2</v>
      </c>
      <c r="I1182" t="s">
        <v>46</v>
      </c>
      <c r="J1182" t="s">
        <v>33</v>
      </c>
      <c r="L1182">
        <f t="shared" si="36"/>
        <v>2020</v>
      </c>
      <c r="M1182" t="str">
        <f t="shared" si="37"/>
        <v>COVID Period</v>
      </c>
    </row>
    <row r="1183" spans="1:13" x14ac:dyDescent="0.25">
      <c r="A1183" s="2">
        <v>44102</v>
      </c>
      <c r="B1183" t="s">
        <v>44</v>
      </c>
      <c r="C1183">
        <v>0</v>
      </c>
      <c r="D1183" s="3">
        <v>4.91</v>
      </c>
      <c r="E1183" s="3">
        <v>0</v>
      </c>
      <c r="F1183">
        <v>3</v>
      </c>
      <c r="G1183">
        <v>3</v>
      </c>
      <c r="H1183" s="4">
        <v>1.8</v>
      </c>
      <c r="I1183" t="s">
        <v>33</v>
      </c>
      <c r="J1183" t="s">
        <v>33</v>
      </c>
      <c r="L1183">
        <f t="shared" si="36"/>
        <v>2020</v>
      </c>
      <c r="M1183" t="str">
        <f t="shared" si="37"/>
        <v>COVID Period</v>
      </c>
    </row>
    <row r="1184" spans="1:13" x14ac:dyDescent="0.25">
      <c r="A1184" s="2">
        <v>44102</v>
      </c>
      <c r="B1184" t="s">
        <v>45</v>
      </c>
      <c r="C1184">
        <v>2</v>
      </c>
      <c r="D1184" s="3">
        <v>15.18</v>
      </c>
      <c r="E1184" s="3">
        <v>30.36</v>
      </c>
      <c r="F1184">
        <v>3</v>
      </c>
      <c r="G1184">
        <v>1</v>
      </c>
      <c r="H1184" s="4">
        <v>3.6</v>
      </c>
      <c r="I1184" t="s">
        <v>46</v>
      </c>
      <c r="J1184" t="s">
        <v>46</v>
      </c>
      <c r="L1184">
        <f t="shared" si="36"/>
        <v>2020</v>
      </c>
      <c r="M1184" t="str">
        <f t="shared" si="37"/>
        <v>COVID Period</v>
      </c>
    </row>
    <row r="1185" spans="1:13" x14ac:dyDescent="0.25">
      <c r="A1185" s="2">
        <v>44109</v>
      </c>
      <c r="B1185" t="s">
        <v>32</v>
      </c>
      <c r="C1185">
        <v>29</v>
      </c>
      <c r="D1185" s="3">
        <v>7.1</v>
      </c>
      <c r="E1185" s="3">
        <v>205.9</v>
      </c>
      <c r="F1185">
        <v>32</v>
      </c>
      <c r="G1185">
        <v>4</v>
      </c>
      <c r="H1185" s="4">
        <v>2.2000000000000002</v>
      </c>
      <c r="I1185" t="s">
        <v>33</v>
      </c>
      <c r="J1185" t="s">
        <v>33</v>
      </c>
      <c r="L1185">
        <f t="shared" si="36"/>
        <v>2020</v>
      </c>
      <c r="M1185" t="str">
        <f t="shared" si="37"/>
        <v>COVID Period</v>
      </c>
    </row>
    <row r="1186" spans="1:13" x14ac:dyDescent="0.25">
      <c r="A1186" s="2">
        <v>44109</v>
      </c>
      <c r="B1186" t="s">
        <v>34</v>
      </c>
      <c r="C1186">
        <v>17</v>
      </c>
      <c r="D1186" s="3">
        <v>6.98</v>
      </c>
      <c r="E1186" s="3">
        <v>118.66</v>
      </c>
      <c r="F1186">
        <v>27</v>
      </c>
      <c r="G1186">
        <v>11</v>
      </c>
      <c r="H1186" s="4">
        <v>1.6</v>
      </c>
      <c r="I1186" t="s">
        <v>33</v>
      </c>
      <c r="J1186" t="s">
        <v>33</v>
      </c>
      <c r="L1186">
        <f t="shared" si="36"/>
        <v>2020</v>
      </c>
      <c r="M1186" t="str">
        <f t="shared" si="37"/>
        <v>COVID Period</v>
      </c>
    </row>
    <row r="1187" spans="1:13" x14ac:dyDescent="0.25">
      <c r="A1187" s="2">
        <v>44109</v>
      </c>
      <c r="B1187" t="s">
        <v>35</v>
      </c>
      <c r="C1187">
        <v>7</v>
      </c>
      <c r="D1187" s="3">
        <v>6.04</v>
      </c>
      <c r="E1187" s="3">
        <v>42.28</v>
      </c>
      <c r="F1187">
        <v>11</v>
      </c>
      <c r="G1187">
        <v>5</v>
      </c>
      <c r="H1187" s="4">
        <v>1.3</v>
      </c>
      <c r="I1187" t="s">
        <v>33</v>
      </c>
      <c r="J1187" t="s">
        <v>33</v>
      </c>
      <c r="L1187">
        <f t="shared" si="36"/>
        <v>2020</v>
      </c>
      <c r="M1187" t="str">
        <f t="shared" si="37"/>
        <v>COVID Period</v>
      </c>
    </row>
    <row r="1188" spans="1:13" x14ac:dyDescent="0.25">
      <c r="A1188" s="2">
        <v>44109</v>
      </c>
      <c r="B1188" t="s">
        <v>36</v>
      </c>
      <c r="C1188">
        <v>13</v>
      </c>
      <c r="D1188" s="3">
        <v>6.25</v>
      </c>
      <c r="E1188" s="3">
        <v>81.25</v>
      </c>
      <c r="F1188">
        <v>15</v>
      </c>
      <c r="G1188">
        <v>4</v>
      </c>
      <c r="H1188" s="4">
        <v>1.9</v>
      </c>
      <c r="I1188" t="s">
        <v>33</v>
      </c>
      <c r="J1188" t="s">
        <v>33</v>
      </c>
      <c r="L1188">
        <f t="shared" si="36"/>
        <v>2020</v>
      </c>
      <c r="M1188" t="str">
        <f t="shared" si="37"/>
        <v>COVID Period</v>
      </c>
    </row>
    <row r="1189" spans="1:13" x14ac:dyDescent="0.25">
      <c r="A1189" s="2">
        <v>44109</v>
      </c>
      <c r="B1189" t="s">
        <v>37</v>
      </c>
      <c r="C1189">
        <v>29</v>
      </c>
      <c r="D1189" s="3">
        <v>3.08</v>
      </c>
      <c r="E1189" s="3">
        <v>89.32</v>
      </c>
      <c r="F1189">
        <v>43</v>
      </c>
      <c r="G1189">
        <v>22</v>
      </c>
      <c r="H1189" s="4">
        <v>2.2000000000000002</v>
      </c>
      <c r="I1189" t="s">
        <v>33</v>
      </c>
      <c r="J1189" t="s">
        <v>33</v>
      </c>
      <c r="L1189">
        <f t="shared" si="36"/>
        <v>2020</v>
      </c>
      <c r="M1189" t="str">
        <f t="shared" si="37"/>
        <v>COVID Period</v>
      </c>
    </row>
    <row r="1190" spans="1:13" x14ac:dyDescent="0.25">
      <c r="A1190" s="2">
        <v>44109</v>
      </c>
      <c r="B1190" t="s">
        <v>38</v>
      </c>
      <c r="C1190">
        <v>19</v>
      </c>
      <c r="D1190" s="3">
        <v>8.64</v>
      </c>
      <c r="E1190" s="3">
        <v>164.16</v>
      </c>
      <c r="F1190">
        <v>28</v>
      </c>
      <c r="G1190">
        <v>13</v>
      </c>
      <c r="H1190" s="4">
        <v>0</v>
      </c>
      <c r="I1190" t="s">
        <v>33</v>
      </c>
      <c r="J1190" t="s">
        <v>33</v>
      </c>
      <c r="L1190">
        <f t="shared" si="36"/>
        <v>2020</v>
      </c>
      <c r="M1190" t="str">
        <f t="shared" si="37"/>
        <v>COVID Period</v>
      </c>
    </row>
    <row r="1191" spans="1:13" x14ac:dyDescent="0.25">
      <c r="A1191" s="2">
        <v>44109</v>
      </c>
      <c r="B1191" t="s">
        <v>39</v>
      </c>
      <c r="C1191">
        <v>25</v>
      </c>
      <c r="D1191" s="3">
        <v>11.33</v>
      </c>
      <c r="E1191" s="3">
        <v>283.25</v>
      </c>
      <c r="F1191">
        <v>41</v>
      </c>
      <c r="G1191">
        <v>20</v>
      </c>
      <c r="H1191" s="4">
        <v>2.2999999999999998</v>
      </c>
      <c r="I1191" t="s">
        <v>33</v>
      </c>
      <c r="J1191" t="s">
        <v>33</v>
      </c>
      <c r="L1191">
        <f t="shared" si="36"/>
        <v>2020</v>
      </c>
      <c r="M1191" t="str">
        <f t="shared" si="37"/>
        <v>COVID Period</v>
      </c>
    </row>
    <row r="1192" spans="1:13" x14ac:dyDescent="0.25">
      <c r="A1192" s="2">
        <v>44109</v>
      </c>
      <c r="B1192" t="s">
        <v>40</v>
      </c>
      <c r="C1192">
        <v>32</v>
      </c>
      <c r="D1192" s="3">
        <v>0.63</v>
      </c>
      <c r="E1192" s="3">
        <v>20.16</v>
      </c>
      <c r="F1192">
        <v>38</v>
      </c>
      <c r="G1192">
        <v>8</v>
      </c>
      <c r="H1192" s="4">
        <v>4.5999999999999996</v>
      </c>
      <c r="I1192" t="s">
        <v>46</v>
      </c>
      <c r="J1192" t="s">
        <v>33</v>
      </c>
      <c r="K1192" t="s">
        <v>47</v>
      </c>
      <c r="L1192">
        <f t="shared" si="36"/>
        <v>2020</v>
      </c>
      <c r="M1192" t="str">
        <f t="shared" si="37"/>
        <v>COVID Period</v>
      </c>
    </row>
    <row r="1193" spans="1:13" x14ac:dyDescent="0.25">
      <c r="A1193" s="2">
        <v>44109</v>
      </c>
      <c r="B1193" t="s">
        <v>41</v>
      </c>
      <c r="C1193">
        <v>31</v>
      </c>
      <c r="D1193" s="3">
        <v>1.4</v>
      </c>
      <c r="E1193" s="3">
        <v>43.4</v>
      </c>
      <c r="F1193">
        <v>49</v>
      </c>
      <c r="G1193">
        <v>21</v>
      </c>
      <c r="H1193" s="4">
        <v>3.8</v>
      </c>
      <c r="I1193" t="s">
        <v>46</v>
      </c>
      <c r="J1193" t="s">
        <v>33</v>
      </c>
      <c r="K1193" t="s">
        <v>47</v>
      </c>
      <c r="L1193">
        <f t="shared" si="36"/>
        <v>2020</v>
      </c>
      <c r="M1193" t="str">
        <f t="shared" si="37"/>
        <v>COVID Period</v>
      </c>
    </row>
    <row r="1194" spans="1:13" x14ac:dyDescent="0.25">
      <c r="A1194" s="2">
        <v>44109</v>
      </c>
      <c r="B1194" t="s">
        <v>42</v>
      </c>
      <c r="C1194">
        <v>26</v>
      </c>
      <c r="D1194" s="3">
        <v>4.17</v>
      </c>
      <c r="E1194" s="3">
        <v>108.42</v>
      </c>
      <c r="F1194">
        <v>35</v>
      </c>
      <c r="G1194">
        <v>12</v>
      </c>
      <c r="H1194" s="4">
        <v>6.9</v>
      </c>
      <c r="I1194" t="s">
        <v>46</v>
      </c>
      <c r="J1194" t="s">
        <v>33</v>
      </c>
      <c r="K1194" t="s">
        <v>47</v>
      </c>
      <c r="L1194">
        <f t="shared" si="36"/>
        <v>2020</v>
      </c>
      <c r="M1194" t="str">
        <f t="shared" si="37"/>
        <v>COVID Period</v>
      </c>
    </row>
    <row r="1195" spans="1:13" x14ac:dyDescent="0.25">
      <c r="A1195" s="2">
        <v>44109</v>
      </c>
      <c r="B1195" t="s">
        <v>43</v>
      </c>
      <c r="C1195">
        <v>17</v>
      </c>
      <c r="D1195" s="3">
        <v>5.41</v>
      </c>
      <c r="E1195" s="3">
        <v>91.97</v>
      </c>
      <c r="F1195">
        <v>20</v>
      </c>
      <c r="G1195">
        <v>5</v>
      </c>
      <c r="H1195" s="4">
        <v>3.9</v>
      </c>
      <c r="I1195" t="s">
        <v>46</v>
      </c>
      <c r="J1195" t="s">
        <v>33</v>
      </c>
      <c r="L1195">
        <f t="shared" si="36"/>
        <v>2020</v>
      </c>
      <c r="M1195" t="str">
        <f t="shared" si="37"/>
        <v>COVID Period</v>
      </c>
    </row>
    <row r="1196" spans="1:13" x14ac:dyDescent="0.25">
      <c r="A1196" s="2">
        <v>44109</v>
      </c>
      <c r="B1196" t="s">
        <v>44</v>
      </c>
      <c r="C1196">
        <v>0</v>
      </c>
      <c r="D1196" s="3">
        <v>4.8499999999999996</v>
      </c>
      <c r="E1196" s="3">
        <v>0</v>
      </c>
      <c r="F1196">
        <v>3</v>
      </c>
      <c r="G1196">
        <v>3</v>
      </c>
      <c r="H1196" s="4">
        <v>3.1</v>
      </c>
      <c r="I1196" t="s">
        <v>33</v>
      </c>
      <c r="J1196" t="s">
        <v>33</v>
      </c>
      <c r="L1196">
        <f t="shared" si="36"/>
        <v>2020</v>
      </c>
      <c r="M1196" t="str">
        <f t="shared" si="37"/>
        <v>COVID Period</v>
      </c>
    </row>
    <row r="1197" spans="1:13" x14ac:dyDescent="0.25">
      <c r="A1197" s="2">
        <v>44109</v>
      </c>
      <c r="B1197" t="s">
        <v>45</v>
      </c>
      <c r="C1197">
        <v>0</v>
      </c>
      <c r="D1197" s="3">
        <v>15.16</v>
      </c>
      <c r="E1197" s="3">
        <v>0</v>
      </c>
      <c r="F1197">
        <v>3</v>
      </c>
      <c r="G1197">
        <v>3</v>
      </c>
      <c r="H1197" s="4">
        <v>2.5</v>
      </c>
      <c r="I1197" t="s">
        <v>46</v>
      </c>
      <c r="J1197" t="s">
        <v>33</v>
      </c>
      <c r="L1197">
        <f t="shared" si="36"/>
        <v>2020</v>
      </c>
      <c r="M1197" t="str">
        <f t="shared" si="37"/>
        <v>COVID Period</v>
      </c>
    </row>
    <row r="1198" spans="1:13" x14ac:dyDescent="0.25">
      <c r="A1198" s="2">
        <v>44116</v>
      </c>
      <c r="B1198" t="s">
        <v>32</v>
      </c>
      <c r="C1198">
        <v>15</v>
      </c>
      <c r="D1198" s="3">
        <v>6.62</v>
      </c>
      <c r="E1198" s="3">
        <v>99.3</v>
      </c>
      <c r="F1198">
        <v>15</v>
      </c>
      <c r="G1198">
        <v>2</v>
      </c>
      <c r="H1198" s="4">
        <v>2.2999999999999998</v>
      </c>
      <c r="I1198" t="s">
        <v>33</v>
      </c>
      <c r="J1198" t="s">
        <v>33</v>
      </c>
      <c r="L1198">
        <f t="shared" si="36"/>
        <v>2020</v>
      </c>
      <c r="M1198" t="str">
        <f t="shared" si="37"/>
        <v>COVID Period</v>
      </c>
    </row>
    <row r="1199" spans="1:13" x14ac:dyDescent="0.25">
      <c r="A1199" s="2">
        <v>44116</v>
      </c>
      <c r="B1199" t="s">
        <v>34</v>
      </c>
      <c r="C1199">
        <v>16</v>
      </c>
      <c r="D1199" s="3">
        <v>6.96</v>
      </c>
      <c r="E1199" s="3">
        <v>111.36</v>
      </c>
      <c r="F1199">
        <v>22</v>
      </c>
      <c r="G1199">
        <v>7</v>
      </c>
      <c r="H1199" s="4">
        <v>3.2</v>
      </c>
      <c r="I1199" t="s">
        <v>33</v>
      </c>
      <c r="J1199" t="s">
        <v>33</v>
      </c>
      <c r="L1199">
        <f t="shared" si="36"/>
        <v>2020</v>
      </c>
      <c r="M1199" t="str">
        <f t="shared" si="37"/>
        <v>COVID Period</v>
      </c>
    </row>
    <row r="1200" spans="1:13" x14ac:dyDescent="0.25">
      <c r="A1200" s="2">
        <v>44116</v>
      </c>
      <c r="B1200" t="s">
        <v>35</v>
      </c>
      <c r="C1200">
        <v>7</v>
      </c>
      <c r="D1200" s="3">
        <v>5.71</v>
      </c>
      <c r="E1200" s="3">
        <v>39.97</v>
      </c>
      <c r="F1200">
        <v>10</v>
      </c>
      <c r="G1200">
        <v>5</v>
      </c>
      <c r="H1200" s="4">
        <v>2.8</v>
      </c>
      <c r="I1200" t="s">
        <v>33</v>
      </c>
      <c r="J1200" t="s">
        <v>33</v>
      </c>
      <c r="L1200">
        <f t="shared" si="36"/>
        <v>2020</v>
      </c>
      <c r="M1200" t="str">
        <f t="shared" si="37"/>
        <v>COVID Period</v>
      </c>
    </row>
    <row r="1201" spans="1:13" x14ac:dyDescent="0.25">
      <c r="A1201" s="2">
        <v>44116</v>
      </c>
      <c r="B1201" t="s">
        <v>36</v>
      </c>
      <c r="C1201">
        <v>12</v>
      </c>
      <c r="D1201" s="3">
        <v>6.16</v>
      </c>
      <c r="E1201" s="3">
        <v>73.92</v>
      </c>
      <c r="F1201">
        <v>12</v>
      </c>
      <c r="G1201">
        <v>2</v>
      </c>
      <c r="H1201" s="4">
        <v>1.7</v>
      </c>
      <c r="I1201" t="s">
        <v>33</v>
      </c>
      <c r="J1201" t="s">
        <v>33</v>
      </c>
      <c r="L1201">
        <f t="shared" si="36"/>
        <v>2020</v>
      </c>
      <c r="M1201" t="str">
        <f t="shared" si="37"/>
        <v>COVID Period</v>
      </c>
    </row>
    <row r="1202" spans="1:13" x14ac:dyDescent="0.25">
      <c r="A1202" s="2">
        <v>44116</v>
      </c>
      <c r="B1202" t="s">
        <v>37</v>
      </c>
      <c r="C1202">
        <v>30</v>
      </c>
      <c r="D1202" s="3">
        <v>3.1</v>
      </c>
      <c r="E1202" s="3">
        <v>93</v>
      </c>
      <c r="F1202">
        <v>41</v>
      </c>
      <c r="G1202">
        <v>14</v>
      </c>
      <c r="H1202" s="4">
        <v>2.2000000000000002</v>
      </c>
      <c r="I1202" t="s">
        <v>33</v>
      </c>
      <c r="J1202" t="s">
        <v>33</v>
      </c>
      <c r="L1202">
        <f t="shared" si="36"/>
        <v>2020</v>
      </c>
      <c r="M1202" t="str">
        <f t="shared" si="37"/>
        <v>COVID Period</v>
      </c>
    </row>
    <row r="1203" spans="1:13" x14ac:dyDescent="0.25">
      <c r="A1203" s="2">
        <v>44116</v>
      </c>
      <c r="B1203" t="s">
        <v>38</v>
      </c>
      <c r="C1203">
        <v>16</v>
      </c>
      <c r="D1203" s="3">
        <v>8.39</v>
      </c>
      <c r="E1203" s="3">
        <v>134.24</v>
      </c>
      <c r="F1203">
        <v>20</v>
      </c>
      <c r="G1203">
        <v>5</v>
      </c>
      <c r="H1203" s="4">
        <v>1.6</v>
      </c>
      <c r="I1203" t="s">
        <v>33</v>
      </c>
      <c r="J1203" t="s">
        <v>33</v>
      </c>
      <c r="L1203">
        <f t="shared" si="36"/>
        <v>2020</v>
      </c>
      <c r="M1203" t="str">
        <f t="shared" si="37"/>
        <v>COVID Period</v>
      </c>
    </row>
    <row r="1204" spans="1:13" x14ac:dyDescent="0.25">
      <c r="A1204" s="2">
        <v>44116</v>
      </c>
      <c r="B1204" t="s">
        <v>39</v>
      </c>
      <c r="C1204">
        <v>29</v>
      </c>
      <c r="D1204" s="3">
        <v>11.78</v>
      </c>
      <c r="E1204" s="3">
        <v>341.62</v>
      </c>
      <c r="F1204">
        <v>34</v>
      </c>
      <c r="G1204">
        <v>11</v>
      </c>
      <c r="H1204" s="4">
        <v>1.3</v>
      </c>
      <c r="I1204" t="s">
        <v>33</v>
      </c>
      <c r="J1204" t="s">
        <v>33</v>
      </c>
      <c r="L1204">
        <f t="shared" si="36"/>
        <v>2020</v>
      </c>
      <c r="M1204" t="str">
        <f t="shared" si="37"/>
        <v>COVID Period</v>
      </c>
    </row>
    <row r="1205" spans="1:13" x14ac:dyDescent="0.25">
      <c r="A1205" s="2">
        <v>44116</v>
      </c>
      <c r="B1205" t="s">
        <v>40</v>
      </c>
      <c r="C1205">
        <v>55</v>
      </c>
      <c r="D1205" s="3">
        <v>0.67</v>
      </c>
      <c r="E1205" s="3">
        <v>36.85</v>
      </c>
      <c r="F1205">
        <v>89</v>
      </c>
      <c r="G1205">
        <v>46</v>
      </c>
      <c r="H1205" s="4">
        <v>5</v>
      </c>
      <c r="I1205" t="s">
        <v>46</v>
      </c>
      <c r="J1205" t="s">
        <v>33</v>
      </c>
      <c r="K1205" t="s">
        <v>47</v>
      </c>
      <c r="L1205">
        <f t="shared" si="36"/>
        <v>2020</v>
      </c>
      <c r="M1205" t="str">
        <f t="shared" si="37"/>
        <v>COVID Period</v>
      </c>
    </row>
    <row r="1206" spans="1:13" x14ac:dyDescent="0.25">
      <c r="A1206" s="2">
        <v>44116</v>
      </c>
      <c r="B1206" t="s">
        <v>41</v>
      </c>
      <c r="C1206">
        <v>16</v>
      </c>
      <c r="D1206" s="3">
        <v>1.41</v>
      </c>
      <c r="E1206" s="3">
        <v>22.56</v>
      </c>
      <c r="F1206">
        <v>24</v>
      </c>
      <c r="G1206">
        <v>11</v>
      </c>
      <c r="H1206" s="4">
        <v>4</v>
      </c>
      <c r="I1206" t="s">
        <v>46</v>
      </c>
      <c r="J1206" t="s">
        <v>33</v>
      </c>
      <c r="K1206" t="s">
        <v>47</v>
      </c>
      <c r="L1206">
        <f t="shared" si="36"/>
        <v>2020</v>
      </c>
      <c r="M1206" t="str">
        <f t="shared" si="37"/>
        <v>COVID Period</v>
      </c>
    </row>
    <row r="1207" spans="1:13" x14ac:dyDescent="0.25">
      <c r="A1207" s="2">
        <v>44116</v>
      </c>
      <c r="B1207" t="s">
        <v>42</v>
      </c>
      <c r="C1207">
        <v>25</v>
      </c>
      <c r="D1207" s="3">
        <v>4.1900000000000004</v>
      </c>
      <c r="E1207" s="3">
        <v>104.75</v>
      </c>
      <c r="F1207">
        <v>29</v>
      </c>
      <c r="G1207">
        <v>7</v>
      </c>
      <c r="H1207" s="4">
        <v>4.0999999999999996</v>
      </c>
      <c r="I1207" t="s">
        <v>46</v>
      </c>
      <c r="J1207" t="s">
        <v>33</v>
      </c>
      <c r="K1207" t="s">
        <v>47</v>
      </c>
      <c r="L1207">
        <f t="shared" si="36"/>
        <v>2020</v>
      </c>
      <c r="M1207" t="str">
        <f t="shared" si="37"/>
        <v>COVID Period</v>
      </c>
    </row>
    <row r="1208" spans="1:13" x14ac:dyDescent="0.25">
      <c r="A1208" s="2">
        <v>44116</v>
      </c>
      <c r="B1208" t="s">
        <v>43</v>
      </c>
      <c r="C1208">
        <v>22</v>
      </c>
      <c r="D1208" s="3">
        <v>5.3</v>
      </c>
      <c r="E1208" s="3">
        <v>116.6</v>
      </c>
      <c r="F1208">
        <v>25</v>
      </c>
      <c r="G1208">
        <v>4</v>
      </c>
      <c r="H1208" s="4">
        <v>3.5</v>
      </c>
      <c r="I1208" t="s">
        <v>46</v>
      </c>
      <c r="J1208" t="s">
        <v>33</v>
      </c>
      <c r="L1208">
        <f t="shared" si="36"/>
        <v>2020</v>
      </c>
      <c r="M1208" t="str">
        <f t="shared" si="37"/>
        <v>COVID Period</v>
      </c>
    </row>
    <row r="1209" spans="1:13" x14ac:dyDescent="0.25">
      <c r="A1209" s="2">
        <v>44116</v>
      </c>
      <c r="B1209" t="s">
        <v>44</v>
      </c>
      <c r="C1209">
        <v>0</v>
      </c>
      <c r="D1209" s="3">
        <v>4.62</v>
      </c>
      <c r="E1209" s="3">
        <v>0</v>
      </c>
      <c r="F1209">
        <v>3</v>
      </c>
      <c r="G1209">
        <v>3</v>
      </c>
      <c r="H1209" s="4">
        <v>2.6</v>
      </c>
      <c r="I1209" t="s">
        <v>33</v>
      </c>
      <c r="J1209" t="s">
        <v>33</v>
      </c>
      <c r="L1209">
        <f t="shared" si="36"/>
        <v>2020</v>
      </c>
      <c r="M1209" t="str">
        <f t="shared" si="37"/>
        <v>COVID Period</v>
      </c>
    </row>
    <row r="1210" spans="1:13" x14ac:dyDescent="0.25">
      <c r="A1210" s="2">
        <v>44116</v>
      </c>
      <c r="B1210" t="s">
        <v>45</v>
      </c>
      <c r="C1210">
        <v>2</v>
      </c>
      <c r="D1210" s="3">
        <v>14.87</v>
      </c>
      <c r="E1210" s="3">
        <v>29.74</v>
      </c>
      <c r="F1210">
        <v>3</v>
      </c>
      <c r="G1210">
        <v>1</v>
      </c>
      <c r="H1210" s="4">
        <v>3</v>
      </c>
      <c r="I1210" t="s">
        <v>46</v>
      </c>
      <c r="J1210" t="s">
        <v>33</v>
      </c>
      <c r="L1210">
        <f t="shared" si="36"/>
        <v>2020</v>
      </c>
      <c r="M1210" t="str">
        <f t="shared" si="37"/>
        <v>COVID Period</v>
      </c>
    </row>
    <row r="1211" spans="1:13" x14ac:dyDescent="0.25">
      <c r="A1211" s="2">
        <v>44123</v>
      </c>
      <c r="B1211" t="s">
        <v>32</v>
      </c>
      <c r="C1211">
        <v>16</v>
      </c>
      <c r="D1211" s="3">
        <v>7.1</v>
      </c>
      <c r="E1211" s="3">
        <v>113.6</v>
      </c>
      <c r="F1211">
        <v>19</v>
      </c>
      <c r="G1211">
        <v>5</v>
      </c>
      <c r="H1211" s="4">
        <v>0.5</v>
      </c>
      <c r="I1211" t="s">
        <v>33</v>
      </c>
      <c r="J1211" t="s">
        <v>33</v>
      </c>
      <c r="L1211">
        <f t="shared" si="36"/>
        <v>2020</v>
      </c>
      <c r="M1211" t="str">
        <f t="shared" si="37"/>
        <v>COVID Period</v>
      </c>
    </row>
    <row r="1212" spans="1:13" x14ac:dyDescent="0.25">
      <c r="A1212" s="2">
        <v>44123</v>
      </c>
      <c r="B1212" t="s">
        <v>34</v>
      </c>
      <c r="C1212">
        <v>23</v>
      </c>
      <c r="D1212" s="3">
        <v>7.31</v>
      </c>
      <c r="E1212" s="3">
        <v>168.13</v>
      </c>
      <c r="F1212">
        <v>30</v>
      </c>
      <c r="G1212">
        <v>11</v>
      </c>
      <c r="H1212" s="4">
        <v>1.1000000000000001</v>
      </c>
      <c r="I1212" t="s">
        <v>33</v>
      </c>
      <c r="J1212" t="s">
        <v>33</v>
      </c>
      <c r="L1212">
        <f t="shared" si="36"/>
        <v>2020</v>
      </c>
      <c r="M1212" t="str">
        <f t="shared" si="37"/>
        <v>COVID Period</v>
      </c>
    </row>
    <row r="1213" spans="1:13" x14ac:dyDescent="0.25">
      <c r="A1213" s="2">
        <v>44123</v>
      </c>
      <c r="B1213" t="s">
        <v>35</v>
      </c>
      <c r="C1213">
        <v>13</v>
      </c>
      <c r="D1213" s="3">
        <v>5.69</v>
      </c>
      <c r="E1213" s="3">
        <v>73.97</v>
      </c>
      <c r="F1213">
        <v>18</v>
      </c>
      <c r="G1213">
        <v>5</v>
      </c>
      <c r="H1213" s="4">
        <v>2</v>
      </c>
      <c r="I1213" t="s">
        <v>33</v>
      </c>
      <c r="J1213" t="s">
        <v>33</v>
      </c>
      <c r="L1213">
        <f t="shared" si="36"/>
        <v>2020</v>
      </c>
      <c r="M1213" t="str">
        <f t="shared" si="37"/>
        <v>COVID Period</v>
      </c>
    </row>
    <row r="1214" spans="1:13" x14ac:dyDescent="0.25">
      <c r="A1214" s="2">
        <v>44123</v>
      </c>
      <c r="B1214" t="s">
        <v>36</v>
      </c>
      <c r="C1214">
        <v>7</v>
      </c>
      <c r="D1214" s="3">
        <v>6.02</v>
      </c>
      <c r="E1214" s="3">
        <v>42.14</v>
      </c>
      <c r="F1214">
        <v>9</v>
      </c>
      <c r="G1214">
        <v>4</v>
      </c>
      <c r="H1214" s="4">
        <v>1.6</v>
      </c>
      <c r="I1214" t="s">
        <v>33</v>
      </c>
      <c r="J1214" t="s">
        <v>33</v>
      </c>
      <c r="L1214">
        <f t="shared" si="36"/>
        <v>2020</v>
      </c>
      <c r="M1214" t="str">
        <f t="shared" si="37"/>
        <v>COVID Period</v>
      </c>
    </row>
    <row r="1215" spans="1:13" x14ac:dyDescent="0.25">
      <c r="A1215" s="2">
        <v>44123</v>
      </c>
      <c r="B1215" t="s">
        <v>37</v>
      </c>
      <c r="C1215">
        <v>35</v>
      </c>
      <c r="D1215" s="3">
        <v>3.23</v>
      </c>
      <c r="E1215" s="3">
        <v>113.05</v>
      </c>
      <c r="F1215">
        <v>46</v>
      </c>
      <c r="G1215">
        <v>15</v>
      </c>
      <c r="H1215" s="4">
        <v>2.1</v>
      </c>
      <c r="I1215" t="s">
        <v>33</v>
      </c>
      <c r="J1215" t="s">
        <v>33</v>
      </c>
      <c r="L1215">
        <f t="shared" si="36"/>
        <v>2020</v>
      </c>
      <c r="M1215" t="str">
        <f t="shared" si="37"/>
        <v>COVID Period</v>
      </c>
    </row>
    <row r="1216" spans="1:13" x14ac:dyDescent="0.25">
      <c r="A1216" s="2">
        <v>44123</v>
      </c>
      <c r="B1216" t="s">
        <v>38</v>
      </c>
      <c r="C1216">
        <v>12</v>
      </c>
      <c r="D1216" s="3">
        <v>8.67</v>
      </c>
      <c r="E1216" s="3">
        <v>104.04</v>
      </c>
      <c r="F1216">
        <v>15</v>
      </c>
      <c r="G1216">
        <v>5</v>
      </c>
      <c r="H1216" s="4">
        <v>0</v>
      </c>
      <c r="I1216" t="s">
        <v>33</v>
      </c>
      <c r="J1216" t="s">
        <v>33</v>
      </c>
      <c r="L1216">
        <f t="shared" si="36"/>
        <v>2020</v>
      </c>
      <c r="M1216" t="str">
        <f t="shared" si="37"/>
        <v>COVID Period</v>
      </c>
    </row>
    <row r="1217" spans="1:13" x14ac:dyDescent="0.25">
      <c r="A1217" s="2">
        <v>44123</v>
      </c>
      <c r="B1217" t="s">
        <v>39</v>
      </c>
      <c r="C1217">
        <v>24</v>
      </c>
      <c r="D1217" s="3">
        <v>11.05</v>
      </c>
      <c r="E1217" s="3">
        <v>265.2</v>
      </c>
      <c r="F1217">
        <v>38</v>
      </c>
      <c r="G1217">
        <v>15</v>
      </c>
      <c r="H1217" s="4">
        <v>2.1</v>
      </c>
      <c r="I1217" t="s">
        <v>33</v>
      </c>
      <c r="J1217" t="s">
        <v>33</v>
      </c>
      <c r="L1217">
        <f t="shared" si="36"/>
        <v>2020</v>
      </c>
      <c r="M1217" t="str">
        <f t="shared" si="37"/>
        <v>COVID Period</v>
      </c>
    </row>
    <row r="1218" spans="1:13" x14ac:dyDescent="0.25">
      <c r="A1218" s="2">
        <v>44123</v>
      </c>
      <c r="B1218" t="s">
        <v>40</v>
      </c>
      <c r="C1218">
        <v>40</v>
      </c>
      <c r="D1218" s="3">
        <v>0.64</v>
      </c>
      <c r="E1218" s="3">
        <v>25.6</v>
      </c>
      <c r="F1218">
        <v>63</v>
      </c>
      <c r="G1218">
        <v>26</v>
      </c>
      <c r="H1218" s="4">
        <v>3.9</v>
      </c>
      <c r="I1218" t="s">
        <v>46</v>
      </c>
      <c r="J1218" t="s">
        <v>33</v>
      </c>
      <c r="K1218" t="s">
        <v>47</v>
      </c>
      <c r="L1218">
        <f t="shared" ref="L1218:L1281" si="38">YEAR(A1218)</f>
        <v>2020</v>
      </c>
      <c r="M1218" t="str">
        <f t="shared" ref="M1218:M1281" si="39">IF(L1218=2019,"Pre-COVID","COVID Period")</f>
        <v>COVID Period</v>
      </c>
    </row>
    <row r="1219" spans="1:13" x14ac:dyDescent="0.25">
      <c r="A1219" s="2">
        <v>44123</v>
      </c>
      <c r="B1219" t="s">
        <v>41</v>
      </c>
      <c r="C1219">
        <v>26</v>
      </c>
      <c r="D1219" s="3">
        <v>1.4</v>
      </c>
      <c r="E1219" s="3">
        <v>36.4</v>
      </c>
      <c r="F1219">
        <v>36</v>
      </c>
      <c r="G1219">
        <v>12</v>
      </c>
      <c r="H1219" s="4">
        <v>5</v>
      </c>
      <c r="I1219" t="s">
        <v>46</v>
      </c>
      <c r="J1219" t="s">
        <v>33</v>
      </c>
      <c r="K1219" t="s">
        <v>47</v>
      </c>
      <c r="L1219">
        <f t="shared" si="38"/>
        <v>2020</v>
      </c>
      <c r="M1219" t="str">
        <f t="shared" si="39"/>
        <v>COVID Period</v>
      </c>
    </row>
    <row r="1220" spans="1:13" x14ac:dyDescent="0.25">
      <c r="A1220" s="2">
        <v>44123</v>
      </c>
      <c r="B1220" t="s">
        <v>42</v>
      </c>
      <c r="C1220">
        <v>38</v>
      </c>
      <c r="D1220" s="3">
        <v>4.13</v>
      </c>
      <c r="E1220" s="3">
        <v>156.94</v>
      </c>
      <c r="F1220">
        <v>59</v>
      </c>
      <c r="G1220">
        <v>22</v>
      </c>
      <c r="H1220" s="4">
        <v>4.2</v>
      </c>
      <c r="I1220" t="s">
        <v>46</v>
      </c>
      <c r="J1220" t="s">
        <v>33</v>
      </c>
      <c r="K1220" t="s">
        <v>47</v>
      </c>
      <c r="L1220">
        <f t="shared" si="38"/>
        <v>2020</v>
      </c>
      <c r="M1220" t="str">
        <f t="shared" si="39"/>
        <v>COVID Period</v>
      </c>
    </row>
    <row r="1221" spans="1:13" x14ac:dyDescent="0.25">
      <c r="A1221" s="2">
        <v>44123</v>
      </c>
      <c r="B1221" t="s">
        <v>43</v>
      </c>
      <c r="C1221">
        <v>22</v>
      </c>
      <c r="D1221" s="3">
        <v>5.75</v>
      </c>
      <c r="E1221" s="3">
        <v>126.5</v>
      </c>
      <c r="F1221">
        <v>36</v>
      </c>
      <c r="G1221">
        <v>19</v>
      </c>
      <c r="H1221" s="4">
        <v>4</v>
      </c>
      <c r="I1221" t="s">
        <v>46</v>
      </c>
      <c r="J1221" t="s">
        <v>33</v>
      </c>
      <c r="L1221">
        <f t="shared" si="38"/>
        <v>2020</v>
      </c>
      <c r="M1221" t="str">
        <f t="shared" si="39"/>
        <v>COVID Period</v>
      </c>
    </row>
    <row r="1222" spans="1:13" x14ac:dyDescent="0.25">
      <c r="A1222" s="2">
        <v>44123</v>
      </c>
      <c r="B1222" t="s">
        <v>44</v>
      </c>
      <c r="C1222">
        <v>1</v>
      </c>
      <c r="D1222" s="3">
        <v>4.62</v>
      </c>
      <c r="E1222" s="3">
        <v>4.62</v>
      </c>
      <c r="F1222">
        <v>3</v>
      </c>
      <c r="G1222">
        <v>2</v>
      </c>
      <c r="H1222" s="4">
        <v>2.8</v>
      </c>
      <c r="I1222" t="s">
        <v>46</v>
      </c>
      <c r="J1222" t="s">
        <v>33</v>
      </c>
      <c r="K1222" t="s">
        <v>47</v>
      </c>
      <c r="L1222">
        <f t="shared" si="38"/>
        <v>2020</v>
      </c>
      <c r="M1222" t="str">
        <f t="shared" si="39"/>
        <v>COVID Period</v>
      </c>
    </row>
    <row r="1223" spans="1:13" x14ac:dyDescent="0.25">
      <c r="A1223" s="2">
        <v>44123</v>
      </c>
      <c r="B1223" t="s">
        <v>45</v>
      </c>
      <c r="C1223">
        <v>0</v>
      </c>
      <c r="D1223" s="3">
        <v>14.94</v>
      </c>
      <c r="E1223" s="3">
        <v>0</v>
      </c>
      <c r="F1223">
        <v>3</v>
      </c>
      <c r="G1223">
        <v>3</v>
      </c>
      <c r="H1223" s="4">
        <v>2</v>
      </c>
      <c r="I1223" t="s">
        <v>46</v>
      </c>
      <c r="J1223" t="s">
        <v>33</v>
      </c>
      <c r="L1223">
        <f t="shared" si="38"/>
        <v>2020</v>
      </c>
      <c r="M1223" t="str">
        <f t="shared" si="39"/>
        <v>COVID Period</v>
      </c>
    </row>
    <row r="1224" spans="1:13" x14ac:dyDescent="0.25">
      <c r="A1224" s="2">
        <v>44130</v>
      </c>
      <c r="B1224" t="s">
        <v>32</v>
      </c>
      <c r="C1224">
        <v>15</v>
      </c>
      <c r="D1224" s="3">
        <v>7.12</v>
      </c>
      <c r="E1224" s="3">
        <v>106.8</v>
      </c>
      <c r="F1224">
        <v>23</v>
      </c>
      <c r="G1224">
        <v>10</v>
      </c>
      <c r="H1224" s="4">
        <v>0.6</v>
      </c>
      <c r="I1224" t="s">
        <v>33</v>
      </c>
      <c r="J1224" t="s">
        <v>33</v>
      </c>
      <c r="L1224">
        <f t="shared" si="38"/>
        <v>2020</v>
      </c>
      <c r="M1224" t="str">
        <f t="shared" si="39"/>
        <v>COVID Period</v>
      </c>
    </row>
    <row r="1225" spans="1:13" x14ac:dyDescent="0.25">
      <c r="A1225" s="2">
        <v>44130</v>
      </c>
      <c r="B1225" t="s">
        <v>34</v>
      </c>
      <c r="C1225">
        <v>16</v>
      </c>
      <c r="D1225" s="3">
        <v>7.09</v>
      </c>
      <c r="E1225" s="3">
        <v>113.44</v>
      </c>
      <c r="F1225">
        <v>23</v>
      </c>
      <c r="G1225">
        <v>8</v>
      </c>
      <c r="H1225" s="4">
        <v>2.2999999999999998</v>
      </c>
      <c r="I1225" t="s">
        <v>33</v>
      </c>
      <c r="J1225" t="s">
        <v>33</v>
      </c>
      <c r="L1225">
        <f t="shared" si="38"/>
        <v>2020</v>
      </c>
      <c r="M1225" t="str">
        <f t="shared" si="39"/>
        <v>COVID Period</v>
      </c>
    </row>
    <row r="1226" spans="1:13" x14ac:dyDescent="0.25">
      <c r="A1226" s="2">
        <v>44130</v>
      </c>
      <c r="B1226" t="s">
        <v>35</v>
      </c>
      <c r="C1226">
        <v>8</v>
      </c>
      <c r="D1226" s="3">
        <v>5.73</v>
      </c>
      <c r="E1226" s="3">
        <v>45.84</v>
      </c>
      <c r="F1226">
        <v>12</v>
      </c>
      <c r="G1226">
        <v>6</v>
      </c>
      <c r="H1226" s="4">
        <v>2.2000000000000002</v>
      </c>
      <c r="I1226" t="s">
        <v>33</v>
      </c>
      <c r="J1226" t="s">
        <v>33</v>
      </c>
      <c r="L1226">
        <f t="shared" si="38"/>
        <v>2020</v>
      </c>
      <c r="M1226" t="str">
        <f t="shared" si="39"/>
        <v>COVID Period</v>
      </c>
    </row>
    <row r="1227" spans="1:13" x14ac:dyDescent="0.25">
      <c r="A1227" s="2">
        <v>44130</v>
      </c>
      <c r="B1227" t="s">
        <v>36</v>
      </c>
      <c r="C1227">
        <v>11</v>
      </c>
      <c r="D1227" s="3">
        <v>6.42</v>
      </c>
      <c r="E1227" s="3">
        <v>70.62</v>
      </c>
      <c r="F1227">
        <v>15</v>
      </c>
      <c r="G1227">
        <v>4</v>
      </c>
      <c r="H1227" s="4">
        <v>0.9</v>
      </c>
      <c r="I1227" t="s">
        <v>33</v>
      </c>
      <c r="J1227" t="s">
        <v>33</v>
      </c>
      <c r="L1227">
        <f t="shared" si="38"/>
        <v>2020</v>
      </c>
      <c r="M1227" t="str">
        <f t="shared" si="39"/>
        <v>COVID Period</v>
      </c>
    </row>
    <row r="1228" spans="1:13" x14ac:dyDescent="0.25">
      <c r="A1228" s="2">
        <v>44130</v>
      </c>
      <c r="B1228" t="s">
        <v>37</v>
      </c>
      <c r="C1228">
        <v>31</v>
      </c>
      <c r="D1228" s="3">
        <v>3.23</v>
      </c>
      <c r="E1228" s="3">
        <v>100.13</v>
      </c>
      <c r="F1228">
        <v>41</v>
      </c>
      <c r="G1228">
        <v>11</v>
      </c>
      <c r="H1228" s="4">
        <v>1.8</v>
      </c>
      <c r="I1228" t="s">
        <v>33</v>
      </c>
      <c r="J1228" t="s">
        <v>33</v>
      </c>
      <c r="L1228">
        <f t="shared" si="38"/>
        <v>2020</v>
      </c>
      <c r="M1228" t="str">
        <f t="shared" si="39"/>
        <v>COVID Period</v>
      </c>
    </row>
    <row r="1229" spans="1:13" x14ac:dyDescent="0.25">
      <c r="A1229" s="2">
        <v>44130</v>
      </c>
      <c r="B1229" t="s">
        <v>38</v>
      </c>
      <c r="C1229">
        <v>14</v>
      </c>
      <c r="D1229" s="3">
        <v>8.39</v>
      </c>
      <c r="E1229" s="3">
        <v>117.46</v>
      </c>
      <c r="F1229">
        <v>22</v>
      </c>
      <c r="G1229">
        <v>9</v>
      </c>
      <c r="H1229" s="4">
        <v>1.1000000000000001</v>
      </c>
      <c r="I1229" t="s">
        <v>33</v>
      </c>
      <c r="J1229" t="s">
        <v>33</v>
      </c>
      <c r="L1229">
        <f t="shared" si="38"/>
        <v>2020</v>
      </c>
      <c r="M1229" t="str">
        <f t="shared" si="39"/>
        <v>COVID Period</v>
      </c>
    </row>
    <row r="1230" spans="1:13" x14ac:dyDescent="0.25">
      <c r="A1230" s="2">
        <v>44130</v>
      </c>
      <c r="B1230" t="s">
        <v>39</v>
      </c>
      <c r="C1230">
        <v>29</v>
      </c>
      <c r="D1230" s="3">
        <v>11.27</v>
      </c>
      <c r="E1230" s="3">
        <v>326.83</v>
      </c>
      <c r="F1230">
        <v>45</v>
      </c>
      <c r="G1230">
        <v>21</v>
      </c>
      <c r="H1230" s="4">
        <v>0.8</v>
      </c>
      <c r="I1230" t="s">
        <v>33</v>
      </c>
      <c r="J1230" t="s">
        <v>33</v>
      </c>
      <c r="L1230">
        <f t="shared" si="38"/>
        <v>2020</v>
      </c>
      <c r="M1230" t="str">
        <f t="shared" si="39"/>
        <v>COVID Period</v>
      </c>
    </row>
    <row r="1231" spans="1:13" x14ac:dyDescent="0.25">
      <c r="A1231" s="2">
        <v>44130</v>
      </c>
      <c r="B1231" t="s">
        <v>40</v>
      </c>
      <c r="C1231">
        <v>51</v>
      </c>
      <c r="D1231" s="3">
        <v>0.66</v>
      </c>
      <c r="E1231" s="3">
        <v>33.659999999999997</v>
      </c>
      <c r="F1231">
        <v>57</v>
      </c>
      <c r="G1231">
        <v>11</v>
      </c>
      <c r="H1231" s="4">
        <v>1.5</v>
      </c>
      <c r="I1231" t="s">
        <v>46</v>
      </c>
      <c r="J1231" t="s">
        <v>33</v>
      </c>
      <c r="K1231" t="s">
        <v>47</v>
      </c>
      <c r="L1231">
        <f t="shared" si="38"/>
        <v>2020</v>
      </c>
      <c r="M1231" t="str">
        <f t="shared" si="39"/>
        <v>COVID Period</v>
      </c>
    </row>
    <row r="1232" spans="1:13" x14ac:dyDescent="0.25">
      <c r="A1232" s="2">
        <v>44130</v>
      </c>
      <c r="B1232" t="s">
        <v>41</v>
      </c>
      <c r="C1232">
        <v>30</v>
      </c>
      <c r="D1232" s="3">
        <v>1.36</v>
      </c>
      <c r="E1232" s="3">
        <v>40.799999999999997</v>
      </c>
      <c r="F1232">
        <v>43</v>
      </c>
      <c r="G1232">
        <v>17</v>
      </c>
      <c r="H1232" s="4">
        <v>4.5</v>
      </c>
      <c r="I1232" t="s">
        <v>46</v>
      </c>
      <c r="J1232" t="s">
        <v>33</v>
      </c>
      <c r="K1232" t="s">
        <v>47</v>
      </c>
      <c r="L1232">
        <f t="shared" si="38"/>
        <v>2020</v>
      </c>
      <c r="M1232" t="str">
        <f t="shared" si="39"/>
        <v>COVID Period</v>
      </c>
    </row>
    <row r="1233" spans="1:13" x14ac:dyDescent="0.25">
      <c r="A1233" s="2">
        <v>44130</v>
      </c>
      <c r="B1233" t="s">
        <v>42</v>
      </c>
      <c r="C1233">
        <v>35</v>
      </c>
      <c r="D1233" s="3">
        <v>4.12</v>
      </c>
      <c r="E1233" s="3">
        <v>144.19999999999999</v>
      </c>
      <c r="F1233">
        <v>55</v>
      </c>
      <c r="G1233">
        <v>29</v>
      </c>
      <c r="H1233" s="4">
        <v>2</v>
      </c>
      <c r="I1233" t="s">
        <v>46</v>
      </c>
      <c r="J1233" t="s">
        <v>33</v>
      </c>
      <c r="K1233" t="s">
        <v>47</v>
      </c>
      <c r="L1233">
        <f t="shared" si="38"/>
        <v>2020</v>
      </c>
      <c r="M1233" t="str">
        <f t="shared" si="39"/>
        <v>COVID Period</v>
      </c>
    </row>
    <row r="1234" spans="1:13" x14ac:dyDescent="0.25">
      <c r="A1234" s="2">
        <v>44130</v>
      </c>
      <c r="B1234" t="s">
        <v>43</v>
      </c>
      <c r="C1234">
        <v>16</v>
      </c>
      <c r="D1234" s="3">
        <v>5.53</v>
      </c>
      <c r="E1234" s="3">
        <v>88.48</v>
      </c>
      <c r="F1234">
        <v>20</v>
      </c>
      <c r="G1234">
        <v>7</v>
      </c>
      <c r="H1234" s="4">
        <v>2.9</v>
      </c>
      <c r="I1234" t="s">
        <v>46</v>
      </c>
      <c r="J1234" t="s">
        <v>33</v>
      </c>
      <c r="L1234">
        <f t="shared" si="38"/>
        <v>2020</v>
      </c>
      <c r="M1234" t="str">
        <f t="shared" si="39"/>
        <v>COVID Period</v>
      </c>
    </row>
    <row r="1235" spans="1:13" x14ac:dyDescent="0.25">
      <c r="A1235" s="2">
        <v>44130</v>
      </c>
      <c r="B1235" t="s">
        <v>44</v>
      </c>
      <c r="C1235">
        <v>0</v>
      </c>
      <c r="D1235" s="3">
        <v>4.7300000000000004</v>
      </c>
      <c r="E1235" s="3">
        <v>0</v>
      </c>
      <c r="F1235">
        <v>3</v>
      </c>
      <c r="G1235">
        <v>3</v>
      </c>
      <c r="H1235" s="4">
        <v>3.5</v>
      </c>
      <c r="I1235" t="s">
        <v>33</v>
      </c>
      <c r="J1235" t="s">
        <v>33</v>
      </c>
      <c r="L1235">
        <f t="shared" si="38"/>
        <v>2020</v>
      </c>
      <c r="M1235" t="str">
        <f t="shared" si="39"/>
        <v>COVID Period</v>
      </c>
    </row>
    <row r="1236" spans="1:13" x14ac:dyDescent="0.25">
      <c r="A1236" s="2">
        <v>44130</v>
      </c>
      <c r="B1236" t="s">
        <v>45</v>
      </c>
      <c r="C1236">
        <v>1</v>
      </c>
      <c r="D1236" s="3">
        <v>14.75</v>
      </c>
      <c r="E1236" s="3">
        <v>14.75</v>
      </c>
      <c r="F1236">
        <v>3</v>
      </c>
      <c r="G1236">
        <v>2</v>
      </c>
      <c r="H1236" s="4">
        <v>3.4</v>
      </c>
      <c r="I1236" t="s">
        <v>46</v>
      </c>
      <c r="J1236" t="s">
        <v>33</v>
      </c>
      <c r="L1236">
        <f t="shared" si="38"/>
        <v>2020</v>
      </c>
      <c r="M1236" t="str">
        <f t="shared" si="39"/>
        <v>COVID Period</v>
      </c>
    </row>
    <row r="1237" spans="1:13" x14ac:dyDescent="0.25">
      <c r="A1237" s="2">
        <v>44137</v>
      </c>
      <c r="B1237" t="s">
        <v>32</v>
      </c>
      <c r="C1237">
        <v>27</v>
      </c>
      <c r="D1237" s="3">
        <v>6.89</v>
      </c>
      <c r="E1237" s="3">
        <v>186.03</v>
      </c>
      <c r="F1237">
        <v>31</v>
      </c>
      <c r="G1237">
        <v>5</v>
      </c>
      <c r="H1237" s="4">
        <v>1.3</v>
      </c>
      <c r="I1237" t="s">
        <v>33</v>
      </c>
      <c r="J1237" t="s">
        <v>33</v>
      </c>
      <c r="L1237">
        <f t="shared" si="38"/>
        <v>2020</v>
      </c>
      <c r="M1237" t="str">
        <f t="shared" si="39"/>
        <v>COVID Period</v>
      </c>
    </row>
    <row r="1238" spans="1:13" x14ac:dyDescent="0.25">
      <c r="A1238" s="2">
        <v>44137</v>
      </c>
      <c r="B1238" t="s">
        <v>34</v>
      </c>
      <c r="C1238">
        <v>26</v>
      </c>
      <c r="D1238" s="3">
        <v>7.01</v>
      </c>
      <c r="E1238" s="3">
        <v>182.26</v>
      </c>
      <c r="F1238">
        <v>40</v>
      </c>
      <c r="G1238">
        <v>19</v>
      </c>
      <c r="H1238" s="4">
        <v>1.7</v>
      </c>
      <c r="I1238" t="s">
        <v>33</v>
      </c>
      <c r="J1238" t="s">
        <v>33</v>
      </c>
      <c r="L1238">
        <f t="shared" si="38"/>
        <v>2020</v>
      </c>
      <c r="M1238" t="str">
        <f t="shared" si="39"/>
        <v>COVID Period</v>
      </c>
    </row>
    <row r="1239" spans="1:13" x14ac:dyDescent="0.25">
      <c r="A1239" s="2">
        <v>44137</v>
      </c>
      <c r="B1239" t="s">
        <v>35</v>
      </c>
      <c r="C1239">
        <v>11</v>
      </c>
      <c r="D1239" s="3">
        <v>6.01</v>
      </c>
      <c r="E1239" s="3">
        <v>66.11</v>
      </c>
      <c r="F1239">
        <v>16</v>
      </c>
      <c r="G1239">
        <v>5</v>
      </c>
      <c r="H1239" s="4">
        <v>1.7</v>
      </c>
      <c r="I1239" t="s">
        <v>33</v>
      </c>
      <c r="J1239" t="s">
        <v>33</v>
      </c>
      <c r="L1239">
        <f t="shared" si="38"/>
        <v>2020</v>
      </c>
      <c r="M1239" t="str">
        <f t="shared" si="39"/>
        <v>COVID Period</v>
      </c>
    </row>
    <row r="1240" spans="1:13" x14ac:dyDescent="0.25">
      <c r="A1240" s="2">
        <v>44137</v>
      </c>
      <c r="B1240" t="s">
        <v>36</v>
      </c>
      <c r="C1240">
        <v>12</v>
      </c>
      <c r="D1240" s="3">
        <v>6.37</v>
      </c>
      <c r="E1240" s="3">
        <v>76.44</v>
      </c>
      <c r="F1240">
        <v>18</v>
      </c>
      <c r="G1240">
        <v>8</v>
      </c>
      <c r="H1240" s="4">
        <v>1.7</v>
      </c>
      <c r="I1240" t="s">
        <v>33</v>
      </c>
      <c r="J1240" t="s">
        <v>33</v>
      </c>
      <c r="L1240">
        <f t="shared" si="38"/>
        <v>2020</v>
      </c>
      <c r="M1240" t="str">
        <f t="shared" si="39"/>
        <v>COVID Period</v>
      </c>
    </row>
    <row r="1241" spans="1:13" x14ac:dyDescent="0.25">
      <c r="A1241" s="2">
        <v>44137</v>
      </c>
      <c r="B1241" t="s">
        <v>37</v>
      </c>
      <c r="C1241">
        <v>31</v>
      </c>
      <c r="D1241" s="3">
        <v>3.23</v>
      </c>
      <c r="E1241" s="3">
        <v>100.13</v>
      </c>
      <c r="F1241">
        <v>49</v>
      </c>
      <c r="G1241">
        <v>19</v>
      </c>
      <c r="H1241" s="4">
        <v>1.2</v>
      </c>
      <c r="I1241" t="s">
        <v>33</v>
      </c>
      <c r="J1241" t="s">
        <v>33</v>
      </c>
      <c r="L1241">
        <f t="shared" si="38"/>
        <v>2020</v>
      </c>
      <c r="M1241" t="str">
        <f t="shared" si="39"/>
        <v>COVID Period</v>
      </c>
    </row>
    <row r="1242" spans="1:13" x14ac:dyDescent="0.25">
      <c r="A1242" s="2">
        <v>44137</v>
      </c>
      <c r="B1242" t="s">
        <v>38</v>
      </c>
      <c r="C1242">
        <v>24</v>
      </c>
      <c r="D1242" s="3">
        <v>8.41</v>
      </c>
      <c r="E1242" s="3">
        <v>201.84</v>
      </c>
      <c r="F1242">
        <v>28</v>
      </c>
      <c r="G1242">
        <v>8</v>
      </c>
      <c r="H1242" s="4">
        <v>1.7</v>
      </c>
      <c r="I1242" t="s">
        <v>33</v>
      </c>
      <c r="J1242" t="s">
        <v>33</v>
      </c>
      <c r="L1242">
        <f t="shared" si="38"/>
        <v>2020</v>
      </c>
      <c r="M1242" t="str">
        <f t="shared" si="39"/>
        <v>COVID Period</v>
      </c>
    </row>
    <row r="1243" spans="1:13" x14ac:dyDescent="0.25">
      <c r="A1243" s="2">
        <v>44137</v>
      </c>
      <c r="B1243" t="s">
        <v>39</v>
      </c>
      <c r="C1243">
        <v>30</v>
      </c>
      <c r="D1243" s="3">
        <v>11.06</v>
      </c>
      <c r="E1243" s="3">
        <v>331.8</v>
      </c>
      <c r="F1243">
        <v>48</v>
      </c>
      <c r="G1243">
        <v>19</v>
      </c>
      <c r="H1243" s="4">
        <v>1.7</v>
      </c>
      <c r="I1243" t="s">
        <v>46</v>
      </c>
      <c r="J1243" t="s">
        <v>33</v>
      </c>
      <c r="K1243" t="s">
        <v>48</v>
      </c>
      <c r="L1243">
        <f t="shared" si="38"/>
        <v>2020</v>
      </c>
      <c r="M1243" t="str">
        <f t="shared" si="39"/>
        <v>COVID Period</v>
      </c>
    </row>
    <row r="1244" spans="1:13" x14ac:dyDescent="0.25">
      <c r="A1244" s="2">
        <v>44137</v>
      </c>
      <c r="B1244" t="s">
        <v>40</v>
      </c>
      <c r="C1244">
        <v>47</v>
      </c>
      <c r="D1244" s="3">
        <v>0.65</v>
      </c>
      <c r="E1244" s="3">
        <v>30.55</v>
      </c>
      <c r="F1244">
        <v>51</v>
      </c>
      <c r="G1244">
        <v>11</v>
      </c>
      <c r="H1244" s="4">
        <v>1</v>
      </c>
      <c r="I1244" t="s">
        <v>46</v>
      </c>
      <c r="J1244" t="s">
        <v>33</v>
      </c>
      <c r="K1244" t="s">
        <v>47</v>
      </c>
      <c r="L1244">
        <f t="shared" si="38"/>
        <v>2020</v>
      </c>
      <c r="M1244" t="str">
        <f t="shared" si="39"/>
        <v>COVID Period</v>
      </c>
    </row>
    <row r="1245" spans="1:13" x14ac:dyDescent="0.25">
      <c r="A1245" s="2">
        <v>44137</v>
      </c>
      <c r="B1245" t="s">
        <v>41</v>
      </c>
      <c r="C1245">
        <v>24</v>
      </c>
      <c r="D1245" s="3">
        <v>1.39</v>
      </c>
      <c r="E1245" s="3">
        <v>33.36</v>
      </c>
      <c r="F1245">
        <v>25</v>
      </c>
      <c r="G1245">
        <v>3</v>
      </c>
      <c r="H1245" s="4">
        <v>4.3</v>
      </c>
      <c r="I1245" t="s">
        <v>46</v>
      </c>
      <c r="J1245" t="s">
        <v>33</v>
      </c>
      <c r="K1245" t="s">
        <v>47</v>
      </c>
      <c r="L1245">
        <f t="shared" si="38"/>
        <v>2020</v>
      </c>
      <c r="M1245" t="str">
        <f t="shared" si="39"/>
        <v>COVID Period</v>
      </c>
    </row>
    <row r="1246" spans="1:13" x14ac:dyDescent="0.25">
      <c r="A1246" s="2">
        <v>44137</v>
      </c>
      <c r="B1246" t="s">
        <v>42</v>
      </c>
      <c r="C1246">
        <v>30</v>
      </c>
      <c r="D1246" s="3">
        <v>4.2699999999999996</v>
      </c>
      <c r="E1246" s="3">
        <v>128.1</v>
      </c>
      <c r="F1246">
        <v>34</v>
      </c>
      <c r="G1246">
        <v>10</v>
      </c>
      <c r="H1246" s="4">
        <v>4.2</v>
      </c>
      <c r="I1246" t="s">
        <v>46</v>
      </c>
      <c r="J1246" t="s">
        <v>33</v>
      </c>
      <c r="K1246" t="s">
        <v>47</v>
      </c>
      <c r="L1246">
        <f t="shared" si="38"/>
        <v>2020</v>
      </c>
      <c r="M1246" t="str">
        <f t="shared" si="39"/>
        <v>COVID Period</v>
      </c>
    </row>
    <row r="1247" spans="1:13" x14ac:dyDescent="0.25">
      <c r="A1247" s="2">
        <v>44137</v>
      </c>
      <c r="B1247" t="s">
        <v>43</v>
      </c>
      <c r="C1247">
        <v>21</v>
      </c>
      <c r="D1247" s="3">
        <v>5.52</v>
      </c>
      <c r="E1247" s="3">
        <v>115.92</v>
      </c>
      <c r="F1247">
        <v>27</v>
      </c>
      <c r="G1247">
        <v>7</v>
      </c>
      <c r="H1247" s="4">
        <v>4.2</v>
      </c>
      <c r="I1247" t="s">
        <v>46</v>
      </c>
      <c r="J1247" t="s">
        <v>33</v>
      </c>
      <c r="L1247">
        <f t="shared" si="38"/>
        <v>2020</v>
      </c>
      <c r="M1247" t="str">
        <f t="shared" si="39"/>
        <v>COVID Period</v>
      </c>
    </row>
    <row r="1248" spans="1:13" x14ac:dyDescent="0.25">
      <c r="A1248" s="2">
        <v>44137</v>
      </c>
      <c r="B1248" t="s">
        <v>44</v>
      </c>
      <c r="C1248">
        <v>0</v>
      </c>
      <c r="D1248" s="3">
        <v>4.74</v>
      </c>
      <c r="E1248" s="3">
        <v>0</v>
      </c>
      <c r="F1248">
        <v>3</v>
      </c>
      <c r="G1248">
        <v>3</v>
      </c>
      <c r="H1248" s="4">
        <v>3.4</v>
      </c>
      <c r="I1248" t="s">
        <v>33</v>
      </c>
      <c r="J1248" t="s">
        <v>33</v>
      </c>
      <c r="L1248">
        <f t="shared" si="38"/>
        <v>2020</v>
      </c>
      <c r="M1248" t="str">
        <f t="shared" si="39"/>
        <v>COVID Period</v>
      </c>
    </row>
    <row r="1249" spans="1:13" x14ac:dyDescent="0.25">
      <c r="A1249" s="2">
        <v>44137</v>
      </c>
      <c r="B1249" t="s">
        <v>45</v>
      </c>
      <c r="C1249">
        <v>0</v>
      </c>
      <c r="D1249" s="3">
        <v>14.52</v>
      </c>
      <c r="E1249" s="3">
        <v>0</v>
      </c>
      <c r="F1249">
        <v>3</v>
      </c>
      <c r="G1249">
        <v>3</v>
      </c>
      <c r="H1249" s="4">
        <v>1.5</v>
      </c>
      <c r="I1249" t="s">
        <v>46</v>
      </c>
      <c r="J1249" t="s">
        <v>33</v>
      </c>
      <c r="L1249">
        <f t="shared" si="38"/>
        <v>2020</v>
      </c>
      <c r="M1249" t="str">
        <f t="shared" si="39"/>
        <v>COVID Period</v>
      </c>
    </row>
    <row r="1250" spans="1:13" x14ac:dyDescent="0.25">
      <c r="A1250" s="2">
        <v>44144</v>
      </c>
      <c r="B1250" t="s">
        <v>32</v>
      </c>
      <c r="C1250">
        <v>22</v>
      </c>
      <c r="D1250" s="3">
        <v>6.65</v>
      </c>
      <c r="E1250" s="3">
        <v>146.30000000000001</v>
      </c>
      <c r="F1250">
        <v>30</v>
      </c>
      <c r="G1250">
        <v>12</v>
      </c>
      <c r="H1250" s="4">
        <v>3.3</v>
      </c>
      <c r="I1250" t="s">
        <v>33</v>
      </c>
      <c r="J1250" t="s">
        <v>33</v>
      </c>
      <c r="L1250">
        <f t="shared" si="38"/>
        <v>2020</v>
      </c>
      <c r="M1250" t="str">
        <f t="shared" si="39"/>
        <v>COVID Period</v>
      </c>
    </row>
    <row r="1251" spans="1:13" x14ac:dyDescent="0.25">
      <c r="A1251" s="2">
        <v>44144</v>
      </c>
      <c r="B1251" t="s">
        <v>34</v>
      </c>
      <c r="C1251">
        <v>16</v>
      </c>
      <c r="D1251" s="3">
        <v>7.18</v>
      </c>
      <c r="E1251" s="3">
        <v>114.88</v>
      </c>
      <c r="F1251">
        <v>18</v>
      </c>
      <c r="G1251">
        <v>5</v>
      </c>
      <c r="H1251" s="4">
        <v>1.8</v>
      </c>
      <c r="I1251" t="s">
        <v>33</v>
      </c>
      <c r="J1251" t="s">
        <v>33</v>
      </c>
      <c r="L1251">
        <f t="shared" si="38"/>
        <v>2020</v>
      </c>
      <c r="M1251" t="str">
        <f t="shared" si="39"/>
        <v>COVID Period</v>
      </c>
    </row>
    <row r="1252" spans="1:13" x14ac:dyDescent="0.25">
      <c r="A1252" s="2">
        <v>44144</v>
      </c>
      <c r="B1252" t="s">
        <v>35</v>
      </c>
      <c r="C1252">
        <v>10</v>
      </c>
      <c r="D1252" s="3">
        <v>6.04</v>
      </c>
      <c r="E1252" s="3">
        <v>60.4</v>
      </c>
      <c r="F1252">
        <v>14</v>
      </c>
      <c r="G1252">
        <v>5</v>
      </c>
      <c r="H1252" s="4">
        <v>1.8</v>
      </c>
      <c r="I1252" t="s">
        <v>33</v>
      </c>
      <c r="J1252" t="s">
        <v>33</v>
      </c>
      <c r="L1252">
        <f t="shared" si="38"/>
        <v>2020</v>
      </c>
      <c r="M1252" t="str">
        <f t="shared" si="39"/>
        <v>COVID Period</v>
      </c>
    </row>
    <row r="1253" spans="1:13" x14ac:dyDescent="0.25">
      <c r="A1253" s="2">
        <v>44144</v>
      </c>
      <c r="B1253" t="s">
        <v>36</v>
      </c>
      <c r="C1253">
        <v>16</v>
      </c>
      <c r="D1253" s="3">
        <v>6.08</v>
      </c>
      <c r="E1253" s="3">
        <v>97.28</v>
      </c>
      <c r="F1253">
        <v>19</v>
      </c>
      <c r="G1253">
        <v>5</v>
      </c>
      <c r="H1253" s="4">
        <v>1.6</v>
      </c>
      <c r="I1253" t="s">
        <v>33</v>
      </c>
      <c r="J1253" t="s">
        <v>33</v>
      </c>
      <c r="L1253">
        <f t="shared" si="38"/>
        <v>2020</v>
      </c>
      <c r="M1253" t="str">
        <f t="shared" si="39"/>
        <v>COVID Period</v>
      </c>
    </row>
    <row r="1254" spans="1:13" x14ac:dyDescent="0.25">
      <c r="A1254" s="2">
        <v>44144</v>
      </c>
      <c r="B1254" t="s">
        <v>37</v>
      </c>
      <c r="C1254">
        <v>42</v>
      </c>
      <c r="D1254" s="3">
        <v>3.19</v>
      </c>
      <c r="E1254" s="3">
        <v>133.97999999999999</v>
      </c>
      <c r="F1254">
        <v>67</v>
      </c>
      <c r="G1254">
        <v>29</v>
      </c>
      <c r="H1254" s="4">
        <v>1.3</v>
      </c>
      <c r="I1254" t="s">
        <v>33</v>
      </c>
      <c r="J1254" t="s">
        <v>33</v>
      </c>
      <c r="L1254">
        <f t="shared" si="38"/>
        <v>2020</v>
      </c>
      <c r="M1254" t="str">
        <f t="shared" si="39"/>
        <v>COVID Period</v>
      </c>
    </row>
    <row r="1255" spans="1:13" x14ac:dyDescent="0.25">
      <c r="A1255" s="2">
        <v>44144</v>
      </c>
      <c r="B1255" t="s">
        <v>38</v>
      </c>
      <c r="C1255">
        <v>22</v>
      </c>
      <c r="D1255" s="3">
        <v>8.69</v>
      </c>
      <c r="E1255" s="3">
        <v>191.18</v>
      </c>
      <c r="F1255">
        <v>31</v>
      </c>
      <c r="G1255">
        <v>13</v>
      </c>
      <c r="H1255" s="4">
        <v>0.8</v>
      </c>
      <c r="I1255" t="s">
        <v>33</v>
      </c>
      <c r="J1255" t="s">
        <v>33</v>
      </c>
      <c r="L1255">
        <f t="shared" si="38"/>
        <v>2020</v>
      </c>
      <c r="M1255" t="str">
        <f t="shared" si="39"/>
        <v>COVID Period</v>
      </c>
    </row>
    <row r="1256" spans="1:13" x14ac:dyDescent="0.25">
      <c r="A1256" s="2">
        <v>44144</v>
      </c>
      <c r="B1256" t="s">
        <v>39</v>
      </c>
      <c r="C1256">
        <v>34</v>
      </c>
      <c r="D1256" s="3">
        <v>11.21</v>
      </c>
      <c r="E1256" s="3">
        <v>381.14</v>
      </c>
      <c r="F1256">
        <v>47</v>
      </c>
      <c r="G1256">
        <v>15</v>
      </c>
      <c r="H1256" s="4">
        <v>1</v>
      </c>
      <c r="I1256" t="s">
        <v>46</v>
      </c>
      <c r="J1256" t="s">
        <v>33</v>
      </c>
      <c r="K1256" t="s">
        <v>48</v>
      </c>
      <c r="L1256">
        <f t="shared" si="38"/>
        <v>2020</v>
      </c>
      <c r="M1256" t="str">
        <f t="shared" si="39"/>
        <v>COVID Period</v>
      </c>
    </row>
    <row r="1257" spans="1:13" x14ac:dyDescent="0.25">
      <c r="A1257" s="2">
        <v>44144</v>
      </c>
      <c r="B1257" t="s">
        <v>40</v>
      </c>
      <c r="C1257">
        <v>52</v>
      </c>
      <c r="D1257" s="3">
        <v>0.66</v>
      </c>
      <c r="E1257" s="3">
        <v>34.32</v>
      </c>
      <c r="F1257">
        <v>59</v>
      </c>
      <c r="G1257">
        <v>9</v>
      </c>
      <c r="H1257" s="4">
        <v>3.1</v>
      </c>
      <c r="I1257" t="s">
        <v>46</v>
      </c>
      <c r="J1257" t="s">
        <v>33</v>
      </c>
      <c r="K1257" t="s">
        <v>47</v>
      </c>
      <c r="L1257">
        <f t="shared" si="38"/>
        <v>2020</v>
      </c>
      <c r="M1257" t="str">
        <f t="shared" si="39"/>
        <v>COVID Period</v>
      </c>
    </row>
    <row r="1258" spans="1:13" x14ac:dyDescent="0.25">
      <c r="A1258" s="2">
        <v>44144</v>
      </c>
      <c r="B1258" t="s">
        <v>41</v>
      </c>
      <c r="C1258">
        <v>21</v>
      </c>
      <c r="D1258" s="3">
        <v>1.4</v>
      </c>
      <c r="E1258" s="3">
        <v>29.4</v>
      </c>
      <c r="F1258">
        <v>22</v>
      </c>
      <c r="G1258">
        <v>2</v>
      </c>
      <c r="H1258" s="4">
        <v>4.3</v>
      </c>
      <c r="I1258" t="s">
        <v>46</v>
      </c>
      <c r="J1258" t="s">
        <v>46</v>
      </c>
      <c r="K1258" t="s">
        <v>47</v>
      </c>
      <c r="L1258">
        <f t="shared" si="38"/>
        <v>2020</v>
      </c>
      <c r="M1258" t="str">
        <f t="shared" si="39"/>
        <v>COVID Period</v>
      </c>
    </row>
    <row r="1259" spans="1:13" x14ac:dyDescent="0.25">
      <c r="A1259" s="2">
        <v>44144</v>
      </c>
      <c r="B1259" t="s">
        <v>42</v>
      </c>
      <c r="C1259">
        <v>35</v>
      </c>
      <c r="D1259" s="3">
        <v>4.2300000000000004</v>
      </c>
      <c r="E1259" s="3">
        <v>148.05000000000001</v>
      </c>
      <c r="F1259">
        <v>40</v>
      </c>
      <c r="G1259">
        <v>6</v>
      </c>
      <c r="H1259" s="4">
        <v>5.9</v>
      </c>
      <c r="I1259" t="s">
        <v>46</v>
      </c>
      <c r="J1259" t="s">
        <v>33</v>
      </c>
      <c r="K1259" t="s">
        <v>47</v>
      </c>
      <c r="L1259">
        <f t="shared" si="38"/>
        <v>2020</v>
      </c>
      <c r="M1259" t="str">
        <f t="shared" si="39"/>
        <v>COVID Period</v>
      </c>
    </row>
    <row r="1260" spans="1:13" x14ac:dyDescent="0.25">
      <c r="A1260" s="2">
        <v>44144</v>
      </c>
      <c r="B1260" t="s">
        <v>43</v>
      </c>
      <c r="C1260">
        <v>16</v>
      </c>
      <c r="D1260" s="3">
        <v>5.64</v>
      </c>
      <c r="E1260" s="3">
        <v>90.24</v>
      </c>
      <c r="F1260">
        <v>19</v>
      </c>
      <c r="G1260">
        <v>5</v>
      </c>
      <c r="H1260" s="4">
        <v>1.9</v>
      </c>
      <c r="I1260" t="s">
        <v>46</v>
      </c>
      <c r="J1260" t="s">
        <v>33</v>
      </c>
      <c r="L1260">
        <f t="shared" si="38"/>
        <v>2020</v>
      </c>
      <c r="M1260" t="str">
        <f t="shared" si="39"/>
        <v>COVID Period</v>
      </c>
    </row>
    <row r="1261" spans="1:13" x14ac:dyDescent="0.25">
      <c r="A1261" s="2">
        <v>44144</v>
      </c>
      <c r="B1261" t="s">
        <v>44</v>
      </c>
      <c r="C1261">
        <v>1</v>
      </c>
      <c r="D1261" s="3">
        <v>4.8499999999999996</v>
      </c>
      <c r="E1261" s="3">
        <v>4.8499999999999996</v>
      </c>
      <c r="F1261">
        <v>3</v>
      </c>
      <c r="G1261">
        <v>2</v>
      </c>
      <c r="H1261" s="4">
        <v>2</v>
      </c>
      <c r="I1261" t="s">
        <v>46</v>
      </c>
      <c r="J1261" t="s">
        <v>46</v>
      </c>
      <c r="K1261" t="s">
        <v>47</v>
      </c>
      <c r="L1261">
        <f t="shared" si="38"/>
        <v>2020</v>
      </c>
      <c r="M1261" t="str">
        <f t="shared" si="39"/>
        <v>COVID Period</v>
      </c>
    </row>
    <row r="1262" spans="1:13" x14ac:dyDescent="0.25">
      <c r="A1262" s="2">
        <v>44144</v>
      </c>
      <c r="B1262" t="s">
        <v>45</v>
      </c>
      <c r="C1262">
        <v>0</v>
      </c>
      <c r="D1262" s="3">
        <v>15.67</v>
      </c>
      <c r="E1262" s="3">
        <v>0</v>
      </c>
      <c r="F1262">
        <v>3</v>
      </c>
      <c r="G1262">
        <v>3</v>
      </c>
      <c r="H1262" s="4">
        <v>3.9</v>
      </c>
      <c r="I1262" t="s">
        <v>46</v>
      </c>
      <c r="J1262" t="s">
        <v>33</v>
      </c>
      <c r="L1262">
        <f t="shared" si="38"/>
        <v>2020</v>
      </c>
      <c r="M1262" t="str">
        <f t="shared" si="39"/>
        <v>COVID Period</v>
      </c>
    </row>
    <row r="1263" spans="1:13" x14ac:dyDescent="0.25">
      <c r="A1263" s="2">
        <v>44151</v>
      </c>
      <c r="B1263" t="s">
        <v>32</v>
      </c>
      <c r="C1263">
        <v>21</v>
      </c>
      <c r="D1263" s="3">
        <v>6.64</v>
      </c>
      <c r="E1263" s="3">
        <v>139.44</v>
      </c>
      <c r="F1263">
        <v>31</v>
      </c>
      <c r="G1263">
        <v>14</v>
      </c>
      <c r="H1263" s="4">
        <v>1.6</v>
      </c>
      <c r="I1263" t="s">
        <v>33</v>
      </c>
      <c r="J1263" t="s">
        <v>33</v>
      </c>
      <c r="L1263">
        <f t="shared" si="38"/>
        <v>2020</v>
      </c>
      <c r="M1263" t="str">
        <f t="shared" si="39"/>
        <v>COVID Period</v>
      </c>
    </row>
    <row r="1264" spans="1:13" x14ac:dyDescent="0.25">
      <c r="A1264" s="2">
        <v>44151</v>
      </c>
      <c r="B1264" t="s">
        <v>34</v>
      </c>
      <c r="C1264">
        <v>21</v>
      </c>
      <c r="D1264" s="3">
        <v>6.99</v>
      </c>
      <c r="E1264" s="3">
        <v>146.79</v>
      </c>
      <c r="F1264">
        <v>32</v>
      </c>
      <c r="G1264">
        <v>13</v>
      </c>
      <c r="H1264" s="4">
        <v>2.4</v>
      </c>
      <c r="I1264" t="s">
        <v>33</v>
      </c>
      <c r="J1264" t="s">
        <v>33</v>
      </c>
      <c r="L1264">
        <f t="shared" si="38"/>
        <v>2020</v>
      </c>
      <c r="M1264" t="str">
        <f t="shared" si="39"/>
        <v>COVID Period</v>
      </c>
    </row>
    <row r="1265" spans="1:13" x14ac:dyDescent="0.25">
      <c r="A1265" s="2">
        <v>44151</v>
      </c>
      <c r="B1265" t="s">
        <v>35</v>
      </c>
      <c r="C1265">
        <v>11</v>
      </c>
      <c r="D1265" s="3">
        <v>6.15</v>
      </c>
      <c r="E1265" s="3">
        <v>67.650000000000006</v>
      </c>
      <c r="F1265">
        <v>15</v>
      </c>
      <c r="G1265">
        <v>4</v>
      </c>
      <c r="H1265" s="4">
        <v>1.9</v>
      </c>
      <c r="I1265" t="s">
        <v>33</v>
      </c>
      <c r="J1265" t="s">
        <v>33</v>
      </c>
      <c r="L1265">
        <f t="shared" si="38"/>
        <v>2020</v>
      </c>
      <c r="M1265" t="str">
        <f t="shared" si="39"/>
        <v>COVID Period</v>
      </c>
    </row>
    <row r="1266" spans="1:13" x14ac:dyDescent="0.25">
      <c r="A1266" s="2">
        <v>44151</v>
      </c>
      <c r="B1266" t="s">
        <v>36</v>
      </c>
      <c r="C1266">
        <v>17</v>
      </c>
      <c r="D1266" s="3">
        <v>6.15</v>
      </c>
      <c r="E1266" s="3">
        <v>104.55</v>
      </c>
      <c r="F1266">
        <v>26</v>
      </c>
      <c r="G1266">
        <v>11</v>
      </c>
      <c r="H1266" s="4">
        <v>1.1000000000000001</v>
      </c>
      <c r="I1266" t="s">
        <v>33</v>
      </c>
      <c r="J1266" t="s">
        <v>33</v>
      </c>
      <c r="L1266">
        <f t="shared" si="38"/>
        <v>2020</v>
      </c>
      <c r="M1266" t="str">
        <f t="shared" si="39"/>
        <v>COVID Period</v>
      </c>
    </row>
    <row r="1267" spans="1:13" x14ac:dyDescent="0.25">
      <c r="A1267" s="2">
        <v>44151</v>
      </c>
      <c r="B1267" t="s">
        <v>37</v>
      </c>
      <c r="C1267">
        <v>37</v>
      </c>
      <c r="D1267" s="3">
        <v>3.21</v>
      </c>
      <c r="E1267" s="3">
        <v>118.77</v>
      </c>
      <c r="F1267">
        <v>43</v>
      </c>
      <c r="G1267">
        <v>9</v>
      </c>
      <c r="H1267" s="4">
        <v>1.1000000000000001</v>
      </c>
      <c r="I1267" t="s">
        <v>33</v>
      </c>
      <c r="J1267" t="s">
        <v>33</v>
      </c>
      <c r="L1267">
        <f t="shared" si="38"/>
        <v>2020</v>
      </c>
      <c r="M1267" t="str">
        <f t="shared" si="39"/>
        <v>COVID Period</v>
      </c>
    </row>
    <row r="1268" spans="1:13" x14ac:dyDescent="0.25">
      <c r="A1268" s="2">
        <v>44151</v>
      </c>
      <c r="B1268" t="s">
        <v>38</v>
      </c>
      <c r="C1268">
        <v>16</v>
      </c>
      <c r="D1268" s="3">
        <v>8.8699999999999992</v>
      </c>
      <c r="E1268" s="3">
        <v>141.91999999999999</v>
      </c>
      <c r="F1268">
        <v>20</v>
      </c>
      <c r="G1268">
        <v>4</v>
      </c>
      <c r="H1268" s="4">
        <v>2.4</v>
      </c>
      <c r="I1268" t="s">
        <v>33</v>
      </c>
      <c r="J1268" t="s">
        <v>33</v>
      </c>
      <c r="L1268">
        <f t="shared" si="38"/>
        <v>2020</v>
      </c>
      <c r="M1268" t="str">
        <f t="shared" si="39"/>
        <v>COVID Period</v>
      </c>
    </row>
    <row r="1269" spans="1:13" x14ac:dyDescent="0.25">
      <c r="A1269" s="2">
        <v>44151</v>
      </c>
      <c r="B1269" t="s">
        <v>39</v>
      </c>
      <c r="C1269">
        <v>32</v>
      </c>
      <c r="D1269" s="3">
        <v>11.25</v>
      </c>
      <c r="E1269" s="3">
        <v>360</v>
      </c>
      <c r="F1269">
        <v>49</v>
      </c>
      <c r="G1269">
        <v>25</v>
      </c>
      <c r="H1269" s="4">
        <v>1.6</v>
      </c>
      <c r="I1269" t="s">
        <v>46</v>
      </c>
      <c r="J1269" t="s">
        <v>33</v>
      </c>
      <c r="K1269" t="s">
        <v>48</v>
      </c>
      <c r="L1269">
        <f t="shared" si="38"/>
        <v>2020</v>
      </c>
      <c r="M1269" t="str">
        <f t="shared" si="39"/>
        <v>COVID Period</v>
      </c>
    </row>
    <row r="1270" spans="1:13" x14ac:dyDescent="0.25">
      <c r="A1270" s="2">
        <v>44151</v>
      </c>
      <c r="B1270" t="s">
        <v>40</v>
      </c>
      <c r="C1270">
        <v>34</v>
      </c>
      <c r="D1270" s="3">
        <v>0.66</v>
      </c>
      <c r="E1270" s="3">
        <v>22.44</v>
      </c>
      <c r="F1270">
        <v>43</v>
      </c>
      <c r="G1270">
        <v>12</v>
      </c>
      <c r="H1270" s="4">
        <v>3.2</v>
      </c>
      <c r="I1270" t="s">
        <v>46</v>
      </c>
      <c r="J1270" t="s">
        <v>33</v>
      </c>
      <c r="K1270" t="s">
        <v>47</v>
      </c>
      <c r="L1270">
        <f t="shared" si="38"/>
        <v>2020</v>
      </c>
      <c r="M1270" t="str">
        <f t="shared" si="39"/>
        <v>COVID Period</v>
      </c>
    </row>
    <row r="1271" spans="1:13" x14ac:dyDescent="0.25">
      <c r="A1271" s="2">
        <v>44151</v>
      </c>
      <c r="B1271" t="s">
        <v>41</v>
      </c>
      <c r="C1271">
        <v>34</v>
      </c>
      <c r="D1271" s="3">
        <v>1.35</v>
      </c>
      <c r="E1271" s="3">
        <v>45.9</v>
      </c>
      <c r="F1271">
        <v>51</v>
      </c>
      <c r="G1271">
        <v>23</v>
      </c>
      <c r="H1271" s="4">
        <v>3.6</v>
      </c>
      <c r="I1271" t="s">
        <v>46</v>
      </c>
      <c r="J1271" t="s">
        <v>33</v>
      </c>
      <c r="K1271" t="s">
        <v>47</v>
      </c>
      <c r="L1271">
        <f t="shared" si="38"/>
        <v>2020</v>
      </c>
      <c r="M1271" t="str">
        <f t="shared" si="39"/>
        <v>COVID Period</v>
      </c>
    </row>
    <row r="1272" spans="1:13" x14ac:dyDescent="0.25">
      <c r="A1272" s="2">
        <v>44151</v>
      </c>
      <c r="B1272" t="s">
        <v>42</v>
      </c>
      <c r="C1272">
        <v>29</v>
      </c>
      <c r="D1272" s="3">
        <v>4.1900000000000004</v>
      </c>
      <c r="E1272" s="3">
        <v>121.51</v>
      </c>
      <c r="F1272">
        <v>42</v>
      </c>
      <c r="G1272">
        <v>13</v>
      </c>
      <c r="H1272" s="4">
        <v>6</v>
      </c>
      <c r="I1272" t="s">
        <v>46</v>
      </c>
      <c r="J1272" t="s">
        <v>33</v>
      </c>
      <c r="K1272" t="s">
        <v>47</v>
      </c>
      <c r="L1272">
        <f t="shared" si="38"/>
        <v>2020</v>
      </c>
      <c r="M1272" t="str">
        <f t="shared" si="39"/>
        <v>COVID Period</v>
      </c>
    </row>
    <row r="1273" spans="1:13" x14ac:dyDescent="0.25">
      <c r="A1273" s="2">
        <v>44151</v>
      </c>
      <c r="B1273" t="s">
        <v>43</v>
      </c>
      <c r="C1273">
        <v>16</v>
      </c>
      <c r="D1273" s="3">
        <v>5.38</v>
      </c>
      <c r="E1273" s="3">
        <v>86.08</v>
      </c>
      <c r="F1273">
        <v>23</v>
      </c>
      <c r="G1273">
        <v>11</v>
      </c>
      <c r="H1273" s="4">
        <v>4.3</v>
      </c>
      <c r="I1273" t="s">
        <v>46</v>
      </c>
      <c r="J1273" t="s">
        <v>33</v>
      </c>
      <c r="L1273">
        <f t="shared" si="38"/>
        <v>2020</v>
      </c>
      <c r="M1273" t="str">
        <f t="shared" si="39"/>
        <v>COVID Period</v>
      </c>
    </row>
    <row r="1274" spans="1:13" x14ac:dyDescent="0.25">
      <c r="A1274" s="2">
        <v>44151</v>
      </c>
      <c r="B1274" t="s">
        <v>44</v>
      </c>
      <c r="C1274">
        <v>1</v>
      </c>
      <c r="D1274" s="3">
        <v>4.88</v>
      </c>
      <c r="E1274" s="3">
        <v>4.88</v>
      </c>
      <c r="F1274">
        <v>3</v>
      </c>
      <c r="G1274">
        <v>2</v>
      </c>
      <c r="H1274" s="4">
        <v>1.2</v>
      </c>
      <c r="I1274" t="s">
        <v>46</v>
      </c>
      <c r="J1274" t="s">
        <v>46</v>
      </c>
      <c r="K1274" t="s">
        <v>47</v>
      </c>
      <c r="L1274">
        <f t="shared" si="38"/>
        <v>2020</v>
      </c>
      <c r="M1274" t="str">
        <f t="shared" si="39"/>
        <v>COVID Period</v>
      </c>
    </row>
    <row r="1275" spans="1:13" x14ac:dyDescent="0.25">
      <c r="A1275" s="2">
        <v>44151</v>
      </c>
      <c r="B1275" t="s">
        <v>45</v>
      </c>
      <c r="C1275">
        <v>1</v>
      </c>
      <c r="D1275" s="3">
        <v>15.14</v>
      </c>
      <c r="E1275" s="3">
        <v>15.14</v>
      </c>
      <c r="F1275">
        <v>3</v>
      </c>
      <c r="G1275">
        <v>2</v>
      </c>
      <c r="H1275" s="4">
        <v>2.8</v>
      </c>
      <c r="I1275" t="s">
        <v>46</v>
      </c>
      <c r="J1275" t="s">
        <v>46</v>
      </c>
      <c r="L1275">
        <f t="shared" si="38"/>
        <v>2020</v>
      </c>
      <c r="M1275" t="str">
        <f t="shared" si="39"/>
        <v>COVID Period</v>
      </c>
    </row>
    <row r="1276" spans="1:13" x14ac:dyDescent="0.25">
      <c r="A1276" s="2">
        <v>44158</v>
      </c>
      <c r="B1276" t="s">
        <v>32</v>
      </c>
      <c r="C1276">
        <v>35</v>
      </c>
      <c r="D1276" s="3">
        <v>6.87</v>
      </c>
      <c r="E1276" s="3">
        <v>240.45</v>
      </c>
      <c r="F1276">
        <v>42</v>
      </c>
      <c r="G1276">
        <v>9</v>
      </c>
      <c r="H1276" s="4">
        <v>2.4</v>
      </c>
      <c r="I1276" t="s">
        <v>46</v>
      </c>
      <c r="J1276" t="s">
        <v>33</v>
      </c>
      <c r="L1276">
        <f t="shared" si="38"/>
        <v>2020</v>
      </c>
      <c r="M1276" t="str">
        <f t="shared" si="39"/>
        <v>COVID Period</v>
      </c>
    </row>
    <row r="1277" spans="1:13" x14ac:dyDescent="0.25">
      <c r="A1277" s="2">
        <v>44158</v>
      </c>
      <c r="B1277" t="s">
        <v>34</v>
      </c>
      <c r="C1277">
        <v>22</v>
      </c>
      <c r="D1277" s="3">
        <v>7.34</v>
      </c>
      <c r="E1277" s="3">
        <v>161.47999999999999</v>
      </c>
      <c r="F1277">
        <v>24</v>
      </c>
      <c r="G1277">
        <v>5</v>
      </c>
      <c r="H1277" s="4">
        <v>0.8</v>
      </c>
      <c r="I1277" t="s">
        <v>33</v>
      </c>
      <c r="J1277" t="s">
        <v>33</v>
      </c>
      <c r="L1277">
        <f t="shared" si="38"/>
        <v>2020</v>
      </c>
      <c r="M1277" t="str">
        <f t="shared" si="39"/>
        <v>COVID Period</v>
      </c>
    </row>
    <row r="1278" spans="1:13" x14ac:dyDescent="0.25">
      <c r="A1278" s="2">
        <v>44158</v>
      </c>
      <c r="B1278" t="s">
        <v>35</v>
      </c>
      <c r="C1278">
        <v>15</v>
      </c>
      <c r="D1278" s="3">
        <v>6</v>
      </c>
      <c r="E1278" s="3">
        <v>90</v>
      </c>
      <c r="F1278">
        <v>24</v>
      </c>
      <c r="G1278">
        <v>12</v>
      </c>
      <c r="H1278" s="4">
        <v>2</v>
      </c>
      <c r="I1278" t="s">
        <v>33</v>
      </c>
      <c r="J1278" t="s">
        <v>33</v>
      </c>
      <c r="L1278">
        <f t="shared" si="38"/>
        <v>2020</v>
      </c>
      <c r="M1278" t="str">
        <f t="shared" si="39"/>
        <v>COVID Period</v>
      </c>
    </row>
    <row r="1279" spans="1:13" x14ac:dyDescent="0.25">
      <c r="A1279" s="2">
        <v>44158</v>
      </c>
      <c r="B1279" t="s">
        <v>36</v>
      </c>
      <c r="C1279">
        <v>14</v>
      </c>
      <c r="D1279" s="3">
        <v>6.28</v>
      </c>
      <c r="E1279" s="3">
        <v>87.92</v>
      </c>
      <c r="F1279">
        <v>17</v>
      </c>
      <c r="G1279">
        <v>6</v>
      </c>
      <c r="H1279" s="4">
        <v>1</v>
      </c>
      <c r="I1279" t="s">
        <v>33</v>
      </c>
      <c r="J1279" t="s">
        <v>33</v>
      </c>
      <c r="L1279">
        <f t="shared" si="38"/>
        <v>2020</v>
      </c>
      <c r="M1279" t="str">
        <f t="shared" si="39"/>
        <v>COVID Period</v>
      </c>
    </row>
    <row r="1280" spans="1:13" x14ac:dyDescent="0.25">
      <c r="A1280" s="2">
        <v>44158</v>
      </c>
      <c r="B1280" t="s">
        <v>37</v>
      </c>
      <c r="C1280">
        <v>36</v>
      </c>
      <c r="D1280" s="3">
        <v>3.1</v>
      </c>
      <c r="E1280" s="3">
        <v>111.6</v>
      </c>
      <c r="F1280">
        <v>46</v>
      </c>
      <c r="G1280">
        <v>17</v>
      </c>
      <c r="H1280" s="4">
        <v>2.8</v>
      </c>
      <c r="I1280" t="s">
        <v>33</v>
      </c>
      <c r="J1280" t="s">
        <v>33</v>
      </c>
      <c r="L1280">
        <f t="shared" si="38"/>
        <v>2020</v>
      </c>
      <c r="M1280" t="str">
        <f t="shared" si="39"/>
        <v>COVID Period</v>
      </c>
    </row>
    <row r="1281" spans="1:13" x14ac:dyDescent="0.25">
      <c r="A1281" s="2">
        <v>44158</v>
      </c>
      <c r="B1281" t="s">
        <v>38</v>
      </c>
      <c r="C1281">
        <v>11</v>
      </c>
      <c r="D1281" s="3">
        <v>8.6999999999999993</v>
      </c>
      <c r="E1281" s="3">
        <v>95.7</v>
      </c>
      <c r="F1281">
        <v>13</v>
      </c>
      <c r="G1281">
        <v>3</v>
      </c>
      <c r="H1281" s="4">
        <v>0.4</v>
      </c>
      <c r="I1281" t="s">
        <v>33</v>
      </c>
      <c r="J1281" t="s">
        <v>33</v>
      </c>
      <c r="L1281">
        <f t="shared" si="38"/>
        <v>2020</v>
      </c>
      <c r="M1281" t="str">
        <f t="shared" si="39"/>
        <v>COVID Period</v>
      </c>
    </row>
    <row r="1282" spans="1:13" x14ac:dyDescent="0.25">
      <c r="A1282" s="2">
        <v>44158</v>
      </c>
      <c r="B1282" t="s">
        <v>39</v>
      </c>
      <c r="C1282">
        <v>33</v>
      </c>
      <c r="D1282" s="3">
        <v>11.24</v>
      </c>
      <c r="E1282" s="3">
        <v>370.92</v>
      </c>
      <c r="F1282">
        <v>38</v>
      </c>
      <c r="G1282">
        <v>12</v>
      </c>
      <c r="H1282" s="4">
        <v>0.3</v>
      </c>
      <c r="I1282" t="s">
        <v>46</v>
      </c>
      <c r="J1282" t="s">
        <v>33</v>
      </c>
      <c r="K1282" t="s">
        <v>48</v>
      </c>
      <c r="L1282">
        <f t="shared" ref="L1282:L1345" si="40">YEAR(A1282)</f>
        <v>2020</v>
      </c>
      <c r="M1282" t="str">
        <f t="shared" ref="M1282:M1345" si="41">IF(L1282=2019,"Pre-COVID","COVID Period")</f>
        <v>COVID Period</v>
      </c>
    </row>
    <row r="1283" spans="1:13" x14ac:dyDescent="0.25">
      <c r="A1283" s="2">
        <v>44158</v>
      </c>
      <c r="B1283" t="s">
        <v>40</v>
      </c>
      <c r="C1283">
        <v>33</v>
      </c>
      <c r="D1283" s="3">
        <v>0.63</v>
      </c>
      <c r="E1283" s="3">
        <v>20.79</v>
      </c>
      <c r="F1283">
        <v>50</v>
      </c>
      <c r="G1283">
        <v>22</v>
      </c>
      <c r="H1283" s="4">
        <v>2.2999999999999998</v>
      </c>
      <c r="I1283" t="s">
        <v>46</v>
      </c>
      <c r="J1283" t="s">
        <v>33</v>
      </c>
      <c r="K1283" t="s">
        <v>47</v>
      </c>
      <c r="L1283">
        <f t="shared" si="40"/>
        <v>2020</v>
      </c>
      <c r="M1283" t="str">
        <f t="shared" si="41"/>
        <v>COVID Period</v>
      </c>
    </row>
    <row r="1284" spans="1:13" x14ac:dyDescent="0.25">
      <c r="A1284" s="2">
        <v>44158</v>
      </c>
      <c r="B1284" t="s">
        <v>41</v>
      </c>
      <c r="C1284">
        <v>33</v>
      </c>
      <c r="D1284" s="3">
        <v>1.32</v>
      </c>
      <c r="E1284" s="3">
        <v>43.56</v>
      </c>
      <c r="F1284">
        <v>37</v>
      </c>
      <c r="G1284">
        <v>10</v>
      </c>
      <c r="H1284" s="4">
        <v>3.9</v>
      </c>
      <c r="I1284" t="s">
        <v>46</v>
      </c>
      <c r="J1284" t="s">
        <v>33</v>
      </c>
      <c r="K1284" t="s">
        <v>47</v>
      </c>
      <c r="L1284">
        <f t="shared" si="40"/>
        <v>2020</v>
      </c>
      <c r="M1284" t="str">
        <f t="shared" si="41"/>
        <v>COVID Period</v>
      </c>
    </row>
    <row r="1285" spans="1:13" x14ac:dyDescent="0.25">
      <c r="A1285" s="2">
        <v>44158</v>
      </c>
      <c r="B1285" t="s">
        <v>42</v>
      </c>
      <c r="C1285">
        <v>27</v>
      </c>
      <c r="D1285" s="3">
        <v>4.1900000000000004</v>
      </c>
      <c r="E1285" s="3">
        <v>113.13</v>
      </c>
      <c r="F1285">
        <v>30</v>
      </c>
      <c r="G1285">
        <v>6</v>
      </c>
      <c r="H1285" s="4">
        <v>4.5</v>
      </c>
      <c r="I1285" t="s">
        <v>46</v>
      </c>
      <c r="J1285" t="s">
        <v>33</v>
      </c>
      <c r="K1285" t="s">
        <v>47</v>
      </c>
      <c r="L1285">
        <f t="shared" si="40"/>
        <v>2020</v>
      </c>
      <c r="M1285" t="str">
        <f t="shared" si="41"/>
        <v>COVID Period</v>
      </c>
    </row>
    <row r="1286" spans="1:13" x14ac:dyDescent="0.25">
      <c r="A1286" s="2">
        <v>44158</v>
      </c>
      <c r="B1286" t="s">
        <v>43</v>
      </c>
      <c r="C1286">
        <v>18</v>
      </c>
      <c r="D1286" s="3">
        <v>5.49</v>
      </c>
      <c r="E1286" s="3">
        <v>98.82</v>
      </c>
      <c r="F1286">
        <v>28</v>
      </c>
      <c r="G1286">
        <v>11</v>
      </c>
      <c r="H1286" s="4">
        <v>3.3</v>
      </c>
      <c r="I1286" t="s">
        <v>46</v>
      </c>
      <c r="J1286" t="s">
        <v>33</v>
      </c>
      <c r="L1286">
        <f t="shared" si="40"/>
        <v>2020</v>
      </c>
      <c r="M1286" t="str">
        <f t="shared" si="41"/>
        <v>COVID Period</v>
      </c>
    </row>
    <row r="1287" spans="1:13" x14ac:dyDescent="0.25">
      <c r="A1287" s="2">
        <v>44158</v>
      </c>
      <c r="B1287" t="s">
        <v>44</v>
      </c>
      <c r="C1287">
        <v>0</v>
      </c>
      <c r="D1287" s="3">
        <v>4.8099999999999996</v>
      </c>
      <c r="E1287" s="3">
        <v>0</v>
      </c>
      <c r="F1287">
        <v>3</v>
      </c>
      <c r="G1287">
        <v>3</v>
      </c>
      <c r="H1287" s="4">
        <v>2.5</v>
      </c>
      <c r="I1287" t="s">
        <v>33</v>
      </c>
      <c r="J1287" t="s">
        <v>33</v>
      </c>
      <c r="L1287">
        <f t="shared" si="40"/>
        <v>2020</v>
      </c>
      <c r="M1287" t="str">
        <f t="shared" si="41"/>
        <v>COVID Period</v>
      </c>
    </row>
    <row r="1288" spans="1:13" x14ac:dyDescent="0.25">
      <c r="A1288" s="2">
        <v>44158</v>
      </c>
      <c r="B1288" t="s">
        <v>45</v>
      </c>
      <c r="C1288">
        <v>0</v>
      </c>
      <c r="D1288" s="3">
        <v>14.67</v>
      </c>
      <c r="E1288" s="3">
        <v>0</v>
      </c>
      <c r="F1288">
        <v>3</v>
      </c>
      <c r="G1288">
        <v>3</v>
      </c>
      <c r="H1288" s="4">
        <v>3.4</v>
      </c>
      <c r="I1288" t="s">
        <v>46</v>
      </c>
      <c r="J1288" t="s">
        <v>33</v>
      </c>
      <c r="L1288">
        <f t="shared" si="40"/>
        <v>2020</v>
      </c>
      <c r="M1288" t="str">
        <f t="shared" si="41"/>
        <v>COVID Period</v>
      </c>
    </row>
    <row r="1289" spans="1:13" x14ac:dyDescent="0.25">
      <c r="A1289" s="2">
        <v>44165</v>
      </c>
      <c r="B1289" t="s">
        <v>32</v>
      </c>
      <c r="C1289">
        <v>20</v>
      </c>
      <c r="D1289" s="3">
        <v>6.71</v>
      </c>
      <c r="E1289" s="3">
        <v>134.19999999999999</v>
      </c>
      <c r="F1289">
        <v>28</v>
      </c>
      <c r="G1289">
        <v>9</v>
      </c>
      <c r="H1289" s="4">
        <v>1.4</v>
      </c>
      <c r="I1289" t="s">
        <v>33</v>
      </c>
      <c r="J1289" t="s">
        <v>33</v>
      </c>
      <c r="L1289">
        <f t="shared" si="40"/>
        <v>2020</v>
      </c>
      <c r="M1289" t="str">
        <f t="shared" si="41"/>
        <v>COVID Period</v>
      </c>
    </row>
    <row r="1290" spans="1:13" x14ac:dyDescent="0.25">
      <c r="A1290" s="2">
        <v>44165</v>
      </c>
      <c r="B1290" t="s">
        <v>34</v>
      </c>
      <c r="C1290">
        <v>24</v>
      </c>
      <c r="D1290" s="3">
        <v>6.82</v>
      </c>
      <c r="E1290" s="3">
        <v>163.68</v>
      </c>
      <c r="F1290">
        <v>38</v>
      </c>
      <c r="G1290">
        <v>19</v>
      </c>
      <c r="H1290" s="4">
        <v>0.7</v>
      </c>
      <c r="I1290" t="s">
        <v>33</v>
      </c>
      <c r="J1290" t="s">
        <v>33</v>
      </c>
      <c r="L1290">
        <f t="shared" si="40"/>
        <v>2020</v>
      </c>
      <c r="M1290" t="str">
        <f t="shared" si="41"/>
        <v>COVID Period</v>
      </c>
    </row>
    <row r="1291" spans="1:13" x14ac:dyDescent="0.25">
      <c r="A1291" s="2">
        <v>44165</v>
      </c>
      <c r="B1291" t="s">
        <v>35</v>
      </c>
      <c r="C1291">
        <v>16</v>
      </c>
      <c r="D1291" s="3">
        <v>5.84</v>
      </c>
      <c r="E1291" s="3">
        <v>93.44</v>
      </c>
      <c r="F1291">
        <v>18</v>
      </c>
      <c r="G1291">
        <v>4</v>
      </c>
      <c r="H1291" s="4">
        <v>2.1</v>
      </c>
      <c r="I1291" t="s">
        <v>33</v>
      </c>
      <c r="J1291" t="s">
        <v>33</v>
      </c>
      <c r="L1291">
        <f t="shared" si="40"/>
        <v>2020</v>
      </c>
      <c r="M1291" t="str">
        <f t="shared" si="41"/>
        <v>COVID Period</v>
      </c>
    </row>
    <row r="1292" spans="1:13" x14ac:dyDescent="0.25">
      <c r="A1292" s="2">
        <v>44165</v>
      </c>
      <c r="B1292" t="s">
        <v>36</v>
      </c>
      <c r="C1292">
        <v>11</v>
      </c>
      <c r="D1292" s="3">
        <v>6.08</v>
      </c>
      <c r="E1292" s="3">
        <v>66.88</v>
      </c>
      <c r="F1292">
        <v>17</v>
      </c>
      <c r="G1292">
        <v>8</v>
      </c>
      <c r="H1292" s="4">
        <v>0.3</v>
      </c>
      <c r="I1292" t="s">
        <v>33</v>
      </c>
      <c r="J1292" t="s">
        <v>33</v>
      </c>
      <c r="L1292">
        <f t="shared" si="40"/>
        <v>2020</v>
      </c>
      <c r="M1292" t="str">
        <f t="shared" si="41"/>
        <v>COVID Period</v>
      </c>
    </row>
    <row r="1293" spans="1:13" x14ac:dyDescent="0.25">
      <c r="A1293" s="2">
        <v>44165</v>
      </c>
      <c r="B1293" t="s">
        <v>37</v>
      </c>
      <c r="C1293">
        <v>36</v>
      </c>
      <c r="D1293" s="3">
        <v>3.18</v>
      </c>
      <c r="E1293" s="3">
        <v>114.48</v>
      </c>
      <c r="F1293">
        <v>41</v>
      </c>
      <c r="G1293">
        <v>9</v>
      </c>
      <c r="H1293" s="4">
        <v>2.2000000000000002</v>
      </c>
      <c r="I1293" t="s">
        <v>33</v>
      </c>
      <c r="J1293" t="s">
        <v>33</v>
      </c>
      <c r="L1293">
        <f t="shared" si="40"/>
        <v>2020</v>
      </c>
      <c r="M1293" t="str">
        <f t="shared" si="41"/>
        <v>COVID Period</v>
      </c>
    </row>
    <row r="1294" spans="1:13" x14ac:dyDescent="0.25">
      <c r="A1294" s="2">
        <v>44165</v>
      </c>
      <c r="B1294" t="s">
        <v>38</v>
      </c>
      <c r="C1294">
        <v>12</v>
      </c>
      <c r="D1294" s="3">
        <v>8.41</v>
      </c>
      <c r="E1294" s="3">
        <v>100.92</v>
      </c>
      <c r="F1294">
        <v>14</v>
      </c>
      <c r="G1294">
        <v>3</v>
      </c>
      <c r="H1294" s="4">
        <v>2.6</v>
      </c>
      <c r="I1294" t="s">
        <v>33</v>
      </c>
      <c r="J1294" t="s">
        <v>33</v>
      </c>
      <c r="L1294">
        <f t="shared" si="40"/>
        <v>2020</v>
      </c>
      <c r="M1294" t="str">
        <f t="shared" si="41"/>
        <v>COVID Period</v>
      </c>
    </row>
    <row r="1295" spans="1:13" x14ac:dyDescent="0.25">
      <c r="A1295" s="2">
        <v>44165</v>
      </c>
      <c r="B1295" t="s">
        <v>39</v>
      </c>
      <c r="C1295">
        <v>37</v>
      </c>
      <c r="D1295" s="3">
        <v>11.94</v>
      </c>
      <c r="E1295" s="3">
        <v>441.78</v>
      </c>
      <c r="F1295">
        <v>55</v>
      </c>
      <c r="G1295">
        <v>21</v>
      </c>
      <c r="H1295" s="4">
        <v>1.7</v>
      </c>
      <c r="I1295" t="s">
        <v>46</v>
      </c>
      <c r="J1295" t="s">
        <v>33</v>
      </c>
      <c r="K1295" t="s">
        <v>48</v>
      </c>
      <c r="L1295">
        <f t="shared" si="40"/>
        <v>2020</v>
      </c>
      <c r="M1295" t="str">
        <f t="shared" si="41"/>
        <v>COVID Period</v>
      </c>
    </row>
    <row r="1296" spans="1:13" x14ac:dyDescent="0.25">
      <c r="A1296" s="2">
        <v>44165</v>
      </c>
      <c r="B1296" t="s">
        <v>40</v>
      </c>
      <c r="C1296">
        <v>32</v>
      </c>
      <c r="D1296" s="3">
        <v>0.66</v>
      </c>
      <c r="E1296" s="3">
        <v>21.12</v>
      </c>
      <c r="F1296">
        <v>39</v>
      </c>
      <c r="G1296">
        <v>12</v>
      </c>
      <c r="H1296" s="4">
        <v>4.8</v>
      </c>
      <c r="I1296" t="s">
        <v>46</v>
      </c>
      <c r="J1296" t="s">
        <v>33</v>
      </c>
      <c r="K1296" t="s">
        <v>47</v>
      </c>
      <c r="L1296">
        <f t="shared" si="40"/>
        <v>2020</v>
      </c>
      <c r="M1296" t="str">
        <f t="shared" si="41"/>
        <v>COVID Period</v>
      </c>
    </row>
    <row r="1297" spans="1:13" x14ac:dyDescent="0.25">
      <c r="A1297" s="2">
        <v>44165</v>
      </c>
      <c r="B1297" t="s">
        <v>41</v>
      </c>
      <c r="C1297">
        <v>30</v>
      </c>
      <c r="D1297" s="3">
        <v>1.34</v>
      </c>
      <c r="E1297" s="3">
        <v>40.200000000000003</v>
      </c>
      <c r="F1297">
        <v>34</v>
      </c>
      <c r="G1297">
        <v>5</v>
      </c>
      <c r="H1297" s="4">
        <v>4.5</v>
      </c>
      <c r="I1297" t="s">
        <v>46</v>
      </c>
      <c r="J1297" t="s">
        <v>33</v>
      </c>
      <c r="K1297" t="s">
        <v>47</v>
      </c>
      <c r="L1297">
        <f t="shared" si="40"/>
        <v>2020</v>
      </c>
      <c r="M1297" t="str">
        <f t="shared" si="41"/>
        <v>COVID Period</v>
      </c>
    </row>
    <row r="1298" spans="1:13" x14ac:dyDescent="0.25">
      <c r="A1298" s="2">
        <v>44165</v>
      </c>
      <c r="B1298" t="s">
        <v>42</v>
      </c>
      <c r="C1298">
        <v>26</v>
      </c>
      <c r="D1298" s="3">
        <v>4.2300000000000004</v>
      </c>
      <c r="E1298" s="3">
        <v>109.98</v>
      </c>
      <c r="F1298">
        <v>40</v>
      </c>
      <c r="G1298">
        <v>21</v>
      </c>
      <c r="H1298" s="4">
        <v>3.7</v>
      </c>
      <c r="I1298" t="s">
        <v>46</v>
      </c>
      <c r="J1298" t="s">
        <v>33</v>
      </c>
      <c r="K1298" t="s">
        <v>47</v>
      </c>
      <c r="L1298">
        <f t="shared" si="40"/>
        <v>2020</v>
      </c>
      <c r="M1298" t="str">
        <f t="shared" si="41"/>
        <v>COVID Period</v>
      </c>
    </row>
    <row r="1299" spans="1:13" x14ac:dyDescent="0.25">
      <c r="A1299" s="2">
        <v>44165</v>
      </c>
      <c r="B1299" t="s">
        <v>43</v>
      </c>
      <c r="C1299">
        <v>13</v>
      </c>
      <c r="D1299" s="3">
        <v>5.66</v>
      </c>
      <c r="E1299" s="3">
        <v>73.58</v>
      </c>
      <c r="F1299">
        <v>21</v>
      </c>
      <c r="G1299">
        <v>10</v>
      </c>
      <c r="H1299" s="4">
        <v>3.1</v>
      </c>
      <c r="I1299" t="s">
        <v>46</v>
      </c>
      <c r="J1299" t="s">
        <v>33</v>
      </c>
      <c r="L1299">
        <f t="shared" si="40"/>
        <v>2020</v>
      </c>
      <c r="M1299" t="str">
        <f t="shared" si="41"/>
        <v>COVID Period</v>
      </c>
    </row>
    <row r="1300" spans="1:13" x14ac:dyDescent="0.25">
      <c r="A1300" s="2">
        <v>44165</v>
      </c>
      <c r="B1300" t="s">
        <v>44</v>
      </c>
      <c r="C1300">
        <v>0</v>
      </c>
      <c r="D1300" s="3">
        <v>5.0199999999999996</v>
      </c>
      <c r="E1300" s="3">
        <v>0</v>
      </c>
      <c r="F1300">
        <v>3</v>
      </c>
      <c r="G1300">
        <v>3</v>
      </c>
      <c r="H1300" s="4">
        <v>3.2</v>
      </c>
      <c r="I1300" t="s">
        <v>33</v>
      </c>
      <c r="J1300" t="s">
        <v>33</v>
      </c>
      <c r="L1300">
        <f t="shared" si="40"/>
        <v>2020</v>
      </c>
      <c r="M1300" t="str">
        <f t="shared" si="41"/>
        <v>COVID Period</v>
      </c>
    </row>
    <row r="1301" spans="1:13" x14ac:dyDescent="0.25">
      <c r="A1301" s="2">
        <v>44165</v>
      </c>
      <c r="B1301" t="s">
        <v>45</v>
      </c>
      <c r="C1301">
        <v>0</v>
      </c>
      <c r="D1301" s="3">
        <v>14.55</v>
      </c>
      <c r="E1301" s="3">
        <v>0</v>
      </c>
      <c r="F1301">
        <v>3</v>
      </c>
      <c r="G1301">
        <v>4</v>
      </c>
      <c r="H1301" s="4">
        <v>3.3</v>
      </c>
      <c r="I1301" t="s">
        <v>46</v>
      </c>
      <c r="J1301" t="s">
        <v>33</v>
      </c>
      <c r="L1301">
        <f t="shared" si="40"/>
        <v>2020</v>
      </c>
      <c r="M1301" t="str">
        <f t="shared" si="41"/>
        <v>COVID Period</v>
      </c>
    </row>
    <row r="1302" spans="1:13" x14ac:dyDescent="0.25">
      <c r="A1302" s="2">
        <v>44172</v>
      </c>
      <c r="B1302" t="s">
        <v>32</v>
      </c>
      <c r="C1302">
        <v>43</v>
      </c>
      <c r="D1302" s="3">
        <v>7.01</v>
      </c>
      <c r="E1302" s="3">
        <v>301.43</v>
      </c>
      <c r="F1302">
        <v>68</v>
      </c>
      <c r="G1302">
        <v>28</v>
      </c>
      <c r="H1302" s="4">
        <v>1.7</v>
      </c>
      <c r="I1302" t="s">
        <v>46</v>
      </c>
      <c r="J1302" t="s">
        <v>33</v>
      </c>
      <c r="L1302">
        <f t="shared" si="40"/>
        <v>2020</v>
      </c>
      <c r="M1302" t="str">
        <f t="shared" si="41"/>
        <v>COVID Period</v>
      </c>
    </row>
    <row r="1303" spans="1:13" x14ac:dyDescent="0.25">
      <c r="A1303" s="2">
        <v>44172</v>
      </c>
      <c r="B1303" t="s">
        <v>34</v>
      </c>
      <c r="C1303">
        <v>20</v>
      </c>
      <c r="D1303" s="3">
        <v>7.1</v>
      </c>
      <c r="E1303" s="3">
        <v>142</v>
      </c>
      <c r="F1303">
        <v>28</v>
      </c>
      <c r="G1303">
        <v>12</v>
      </c>
      <c r="H1303" s="4">
        <v>0.2</v>
      </c>
      <c r="I1303" t="s">
        <v>33</v>
      </c>
      <c r="J1303" t="s">
        <v>33</v>
      </c>
      <c r="L1303">
        <f t="shared" si="40"/>
        <v>2020</v>
      </c>
      <c r="M1303" t="str">
        <f t="shared" si="41"/>
        <v>COVID Period</v>
      </c>
    </row>
    <row r="1304" spans="1:13" x14ac:dyDescent="0.25">
      <c r="A1304" s="2">
        <v>44172</v>
      </c>
      <c r="B1304" t="s">
        <v>35</v>
      </c>
      <c r="C1304">
        <v>19</v>
      </c>
      <c r="D1304" s="3">
        <v>5.67</v>
      </c>
      <c r="E1304" s="3">
        <v>107.73</v>
      </c>
      <c r="F1304">
        <v>20</v>
      </c>
      <c r="G1304">
        <v>4</v>
      </c>
      <c r="H1304" s="4">
        <v>0.8</v>
      </c>
      <c r="I1304" t="s">
        <v>33</v>
      </c>
      <c r="J1304" t="s">
        <v>33</v>
      </c>
      <c r="L1304">
        <f t="shared" si="40"/>
        <v>2020</v>
      </c>
      <c r="M1304" t="str">
        <f t="shared" si="41"/>
        <v>COVID Period</v>
      </c>
    </row>
    <row r="1305" spans="1:13" x14ac:dyDescent="0.25">
      <c r="A1305" s="2">
        <v>44172</v>
      </c>
      <c r="B1305" t="s">
        <v>36</v>
      </c>
      <c r="C1305">
        <v>16</v>
      </c>
      <c r="D1305" s="3">
        <v>6.05</v>
      </c>
      <c r="E1305" s="3">
        <v>96.8</v>
      </c>
      <c r="F1305">
        <v>18</v>
      </c>
      <c r="G1305">
        <v>3</v>
      </c>
      <c r="H1305" s="4">
        <v>2.2000000000000002</v>
      </c>
      <c r="I1305" t="s">
        <v>33</v>
      </c>
      <c r="J1305" t="s">
        <v>33</v>
      </c>
      <c r="L1305">
        <f t="shared" si="40"/>
        <v>2020</v>
      </c>
      <c r="M1305" t="str">
        <f t="shared" si="41"/>
        <v>COVID Period</v>
      </c>
    </row>
    <row r="1306" spans="1:13" x14ac:dyDescent="0.25">
      <c r="A1306" s="2">
        <v>44172</v>
      </c>
      <c r="B1306" t="s">
        <v>37</v>
      </c>
      <c r="C1306">
        <v>23</v>
      </c>
      <c r="D1306" s="3">
        <v>3.09</v>
      </c>
      <c r="E1306" s="3">
        <v>71.069999999999993</v>
      </c>
      <c r="F1306">
        <v>26</v>
      </c>
      <c r="G1306">
        <v>4</v>
      </c>
      <c r="H1306" s="4">
        <v>2.1</v>
      </c>
      <c r="I1306" t="s">
        <v>33</v>
      </c>
      <c r="J1306" t="s">
        <v>33</v>
      </c>
      <c r="L1306">
        <f t="shared" si="40"/>
        <v>2020</v>
      </c>
      <c r="M1306" t="str">
        <f t="shared" si="41"/>
        <v>COVID Period</v>
      </c>
    </row>
    <row r="1307" spans="1:13" x14ac:dyDescent="0.25">
      <c r="A1307" s="2">
        <v>44172</v>
      </c>
      <c r="B1307" t="s">
        <v>38</v>
      </c>
      <c r="C1307">
        <v>18</v>
      </c>
      <c r="D1307" s="3">
        <v>8.61</v>
      </c>
      <c r="E1307" s="3">
        <v>154.97999999999999</v>
      </c>
      <c r="F1307">
        <v>20</v>
      </c>
      <c r="G1307">
        <v>2</v>
      </c>
      <c r="H1307" s="4">
        <v>0.8</v>
      </c>
      <c r="I1307" t="s">
        <v>33</v>
      </c>
      <c r="J1307" t="s">
        <v>33</v>
      </c>
      <c r="L1307">
        <f t="shared" si="40"/>
        <v>2020</v>
      </c>
      <c r="M1307" t="str">
        <f t="shared" si="41"/>
        <v>COVID Period</v>
      </c>
    </row>
    <row r="1308" spans="1:13" x14ac:dyDescent="0.25">
      <c r="A1308" s="2">
        <v>44172</v>
      </c>
      <c r="B1308" t="s">
        <v>39</v>
      </c>
      <c r="C1308">
        <v>34</v>
      </c>
      <c r="D1308" s="3">
        <v>11.98</v>
      </c>
      <c r="E1308" s="3">
        <v>407.32</v>
      </c>
      <c r="F1308">
        <v>37</v>
      </c>
      <c r="G1308">
        <v>4</v>
      </c>
      <c r="H1308" s="4">
        <v>1.8</v>
      </c>
      <c r="I1308" t="s">
        <v>46</v>
      </c>
      <c r="J1308" t="s">
        <v>33</v>
      </c>
      <c r="K1308" t="s">
        <v>48</v>
      </c>
      <c r="L1308">
        <f t="shared" si="40"/>
        <v>2020</v>
      </c>
      <c r="M1308" t="str">
        <f t="shared" si="41"/>
        <v>COVID Period</v>
      </c>
    </row>
    <row r="1309" spans="1:13" x14ac:dyDescent="0.25">
      <c r="A1309" s="2">
        <v>44172</v>
      </c>
      <c r="B1309" t="s">
        <v>40</v>
      </c>
      <c r="C1309">
        <v>43</v>
      </c>
      <c r="D1309" s="3">
        <v>0.63</v>
      </c>
      <c r="E1309" s="3">
        <v>27.09</v>
      </c>
      <c r="F1309">
        <v>65</v>
      </c>
      <c r="G1309">
        <v>33</v>
      </c>
      <c r="H1309" s="4">
        <v>2.8</v>
      </c>
      <c r="I1309" t="s">
        <v>46</v>
      </c>
      <c r="J1309" t="s">
        <v>33</v>
      </c>
      <c r="K1309" t="s">
        <v>47</v>
      </c>
      <c r="L1309">
        <f t="shared" si="40"/>
        <v>2020</v>
      </c>
      <c r="M1309" t="str">
        <f t="shared" si="41"/>
        <v>COVID Period</v>
      </c>
    </row>
    <row r="1310" spans="1:13" x14ac:dyDescent="0.25">
      <c r="A1310" s="2">
        <v>44172</v>
      </c>
      <c r="B1310" t="s">
        <v>41</v>
      </c>
      <c r="C1310">
        <v>28</v>
      </c>
      <c r="D1310" s="3">
        <v>1.3</v>
      </c>
      <c r="E1310" s="3">
        <v>36.4</v>
      </c>
      <c r="F1310">
        <v>32</v>
      </c>
      <c r="G1310">
        <v>6</v>
      </c>
      <c r="H1310" s="4">
        <v>3.6</v>
      </c>
      <c r="I1310" t="s">
        <v>46</v>
      </c>
      <c r="J1310" t="s">
        <v>33</v>
      </c>
      <c r="K1310" t="s">
        <v>47</v>
      </c>
      <c r="L1310">
        <f t="shared" si="40"/>
        <v>2020</v>
      </c>
      <c r="M1310" t="str">
        <f t="shared" si="41"/>
        <v>COVID Period</v>
      </c>
    </row>
    <row r="1311" spans="1:13" x14ac:dyDescent="0.25">
      <c r="A1311" s="2">
        <v>44172</v>
      </c>
      <c r="B1311" t="s">
        <v>42</v>
      </c>
      <c r="C1311">
        <v>33</v>
      </c>
      <c r="D1311" s="3">
        <v>4.32</v>
      </c>
      <c r="E1311" s="3">
        <v>142.56</v>
      </c>
      <c r="F1311">
        <v>37</v>
      </c>
      <c r="G1311">
        <v>5</v>
      </c>
      <c r="H1311" s="4">
        <v>3.8</v>
      </c>
      <c r="I1311" t="s">
        <v>46</v>
      </c>
      <c r="J1311" t="s">
        <v>33</v>
      </c>
      <c r="K1311" t="s">
        <v>47</v>
      </c>
      <c r="L1311">
        <f t="shared" si="40"/>
        <v>2020</v>
      </c>
      <c r="M1311" t="str">
        <f t="shared" si="41"/>
        <v>COVID Period</v>
      </c>
    </row>
    <row r="1312" spans="1:13" x14ac:dyDescent="0.25">
      <c r="A1312" s="2">
        <v>44172</v>
      </c>
      <c r="B1312" t="s">
        <v>43</v>
      </c>
      <c r="C1312">
        <v>15</v>
      </c>
      <c r="D1312" s="3">
        <v>5.33</v>
      </c>
      <c r="E1312" s="3">
        <v>79.95</v>
      </c>
      <c r="F1312">
        <v>24</v>
      </c>
      <c r="G1312">
        <v>10</v>
      </c>
      <c r="H1312" s="4">
        <v>1.9</v>
      </c>
      <c r="I1312" t="s">
        <v>46</v>
      </c>
      <c r="J1312" t="s">
        <v>33</v>
      </c>
      <c r="L1312">
        <f t="shared" si="40"/>
        <v>2020</v>
      </c>
      <c r="M1312" t="str">
        <f t="shared" si="41"/>
        <v>COVID Period</v>
      </c>
    </row>
    <row r="1313" spans="1:13" x14ac:dyDescent="0.25">
      <c r="A1313" s="2">
        <v>44172</v>
      </c>
      <c r="B1313" t="s">
        <v>44</v>
      </c>
      <c r="C1313">
        <v>1</v>
      </c>
      <c r="D1313" s="3">
        <v>4.8</v>
      </c>
      <c r="E1313" s="3">
        <v>4.8</v>
      </c>
      <c r="F1313">
        <v>3</v>
      </c>
      <c r="G1313">
        <v>2</v>
      </c>
      <c r="H1313" s="4">
        <v>4</v>
      </c>
      <c r="I1313" t="s">
        <v>46</v>
      </c>
      <c r="J1313" t="s">
        <v>33</v>
      </c>
      <c r="K1313" t="s">
        <v>47</v>
      </c>
      <c r="L1313">
        <f t="shared" si="40"/>
        <v>2020</v>
      </c>
      <c r="M1313" t="str">
        <f t="shared" si="41"/>
        <v>COVID Period</v>
      </c>
    </row>
    <row r="1314" spans="1:13" x14ac:dyDescent="0.25">
      <c r="A1314" s="2">
        <v>44172</v>
      </c>
      <c r="B1314" t="s">
        <v>45</v>
      </c>
      <c r="C1314">
        <v>0</v>
      </c>
      <c r="D1314" s="3">
        <v>15.48</v>
      </c>
      <c r="E1314" s="3">
        <v>0</v>
      </c>
      <c r="F1314">
        <v>3</v>
      </c>
      <c r="G1314">
        <v>4</v>
      </c>
      <c r="H1314" s="4">
        <v>1.7</v>
      </c>
      <c r="I1314" t="s">
        <v>46</v>
      </c>
      <c r="J1314" t="s">
        <v>33</v>
      </c>
      <c r="L1314">
        <f t="shared" si="40"/>
        <v>2020</v>
      </c>
      <c r="M1314" t="str">
        <f t="shared" si="41"/>
        <v>COVID Period</v>
      </c>
    </row>
    <row r="1315" spans="1:13" x14ac:dyDescent="0.25">
      <c r="A1315" s="2">
        <v>44179</v>
      </c>
      <c r="B1315" t="s">
        <v>32</v>
      </c>
      <c r="C1315">
        <v>29</v>
      </c>
      <c r="D1315" s="3">
        <v>6.62</v>
      </c>
      <c r="E1315" s="3">
        <v>191.98</v>
      </c>
      <c r="F1315">
        <v>37</v>
      </c>
      <c r="G1315">
        <v>13</v>
      </c>
      <c r="H1315" s="4">
        <v>2</v>
      </c>
      <c r="I1315" t="s">
        <v>33</v>
      </c>
      <c r="J1315" t="s">
        <v>33</v>
      </c>
      <c r="L1315">
        <f t="shared" si="40"/>
        <v>2020</v>
      </c>
      <c r="M1315" t="str">
        <f t="shared" si="41"/>
        <v>COVID Period</v>
      </c>
    </row>
    <row r="1316" spans="1:13" x14ac:dyDescent="0.25">
      <c r="A1316" s="2">
        <v>44179</v>
      </c>
      <c r="B1316" t="s">
        <v>34</v>
      </c>
      <c r="C1316">
        <v>20</v>
      </c>
      <c r="D1316" s="3">
        <v>6.85</v>
      </c>
      <c r="E1316" s="3">
        <v>137</v>
      </c>
      <c r="F1316">
        <v>24</v>
      </c>
      <c r="G1316">
        <v>8</v>
      </c>
      <c r="H1316" s="4">
        <v>0.2</v>
      </c>
      <c r="I1316" t="s">
        <v>33</v>
      </c>
      <c r="J1316" t="s">
        <v>33</v>
      </c>
      <c r="L1316">
        <f t="shared" si="40"/>
        <v>2020</v>
      </c>
      <c r="M1316" t="str">
        <f t="shared" si="41"/>
        <v>COVID Period</v>
      </c>
    </row>
    <row r="1317" spans="1:13" x14ac:dyDescent="0.25">
      <c r="A1317" s="2">
        <v>44179</v>
      </c>
      <c r="B1317" t="s">
        <v>35</v>
      </c>
      <c r="C1317">
        <v>13</v>
      </c>
      <c r="D1317" s="3">
        <v>5.99</v>
      </c>
      <c r="E1317" s="3">
        <v>77.87</v>
      </c>
      <c r="F1317">
        <v>17</v>
      </c>
      <c r="G1317">
        <v>7</v>
      </c>
      <c r="H1317" s="4">
        <v>1</v>
      </c>
      <c r="I1317" t="s">
        <v>33</v>
      </c>
      <c r="J1317" t="s">
        <v>33</v>
      </c>
      <c r="L1317">
        <f t="shared" si="40"/>
        <v>2020</v>
      </c>
      <c r="M1317" t="str">
        <f t="shared" si="41"/>
        <v>COVID Period</v>
      </c>
    </row>
    <row r="1318" spans="1:13" x14ac:dyDescent="0.25">
      <c r="A1318" s="2">
        <v>44179</v>
      </c>
      <c r="B1318" t="s">
        <v>36</v>
      </c>
      <c r="C1318">
        <v>7</v>
      </c>
      <c r="D1318" s="3">
        <v>6.4</v>
      </c>
      <c r="E1318" s="3">
        <v>44.8</v>
      </c>
      <c r="F1318">
        <v>8</v>
      </c>
      <c r="G1318">
        <v>2</v>
      </c>
      <c r="H1318" s="4">
        <v>0.8</v>
      </c>
      <c r="I1318" t="s">
        <v>33</v>
      </c>
      <c r="J1318" t="s">
        <v>33</v>
      </c>
      <c r="L1318">
        <f t="shared" si="40"/>
        <v>2020</v>
      </c>
      <c r="M1318" t="str">
        <f t="shared" si="41"/>
        <v>COVID Period</v>
      </c>
    </row>
    <row r="1319" spans="1:13" x14ac:dyDescent="0.25">
      <c r="A1319" s="2">
        <v>44179</v>
      </c>
      <c r="B1319" t="s">
        <v>37</v>
      </c>
      <c r="C1319">
        <v>43</v>
      </c>
      <c r="D1319" s="3">
        <v>3.26</v>
      </c>
      <c r="E1319" s="3">
        <v>140.18</v>
      </c>
      <c r="F1319">
        <v>70</v>
      </c>
      <c r="G1319">
        <v>27</v>
      </c>
      <c r="H1319" s="4">
        <v>2.2999999999999998</v>
      </c>
      <c r="I1319" t="s">
        <v>33</v>
      </c>
      <c r="J1319" t="s">
        <v>33</v>
      </c>
      <c r="L1319">
        <f t="shared" si="40"/>
        <v>2020</v>
      </c>
      <c r="M1319" t="str">
        <f t="shared" si="41"/>
        <v>COVID Period</v>
      </c>
    </row>
    <row r="1320" spans="1:13" x14ac:dyDescent="0.25">
      <c r="A1320" s="2">
        <v>44179</v>
      </c>
      <c r="B1320" t="s">
        <v>38</v>
      </c>
      <c r="C1320">
        <v>21</v>
      </c>
      <c r="D1320" s="3">
        <v>8.59</v>
      </c>
      <c r="E1320" s="3">
        <v>180.39</v>
      </c>
      <c r="F1320">
        <v>32</v>
      </c>
      <c r="G1320">
        <v>12</v>
      </c>
      <c r="H1320" s="4">
        <v>0</v>
      </c>
      <c r="I1320" t="s">
        <v>33</v>
      </c>
      <c r="J1320" t="s">
        <v>33</v>
      </c>
      <c r="L1320">
        <f t="shared" si="40"/>
        <v>2020</v>
      </c>
      <c r="M1320" t="str">
        <f t="shared" si="41"/>
        <v>COVID Period</v>
      </c>
    </row>
    <row r="1321" spans="1:13" x14ac:dyDescent="0.25">
      <c r="A1321" s="2">
        <v>44179</v>
      </c>
      <c r="B1321" t="s">
        <v>39</v>
      </c>
      <c r="C1321">
        <v>46</v>
      </c>
      <c r="D1321" s="3">
        <v>11.97</v>
      </c>
      <c r="E1321" s="3">
        <v>550.62</v>
      </c>
      <c r="F1321">
        <v>51</v>
      </c>
      <c r="G1321">
        <v>7</v>
      </c>
      <c r="H1321" s="4">
        <v>0</v>
      </c>
      <c r="I1321" t="s">
        <v>46</v>
      </c>
      <c r="J1321" t="s">
        <v>33</v>
      </c>
      <c r="K1321" t="s">
        <v>48</v>
      </c>
      <c r="L1321">
        <f t="shared" si="40"/>
        <v>2020</v>
      </c>
      <c r="M1321" t="str">
        <f t="shared" si="41"/>
        <v>COVID Period</v>
      </c>
    </row>
    <row r="1322" spans="1:13" x14ac:dyDescent="0.25">
      <c r="A1322" s="2">
        <v>44179</v>
      </c>
      <c r="B1322" t="s">
        <v>40</v>
      </c>
      <c r="C1322">
        <v>30</v>
      </c>
      <c r="D1322" s="3">
        <v>0.67</v>
      </c>
      <c r="E1322" s="3">
        <v>20.100000000000001</v>
      </c>
      <c r="F1322">
        <v>34</v>
      </c>
      <c r="G1322">
        <v>7</v>
      </c>
      <c r="H1322" s="4">
        <v>2.7</v>
      </c>
      <c r="I1322" t="s">
        <v>46</v>
      </c>
      <c r="J1322" t="s">
        <v>33</v>
      </c>
      <c r="K1322" t="s">
        <v>47</v>
      </c>
      <c r="L1322">
        <f t="shared" si="40"/>
        <v>2020</v>
      </c>
      <c r="M1322" t="str">
        <f t="shared" si="41"/>
        <v>COVID Period</v>
      </c>
    </row>
    <row r="1323" spans="1:13" x14ac:dyDescent="0.25">
      <c r="A1323" s="2">
        <v>44179</v>
      </c>
      <c r="B1323" t="s">
        <v>41</v>
      </c>
      <c r="C1323">
        <v>21</v>
      </c>
      <c r="D1323" s="3">
        <v>1.3</v>
      </c>
      <c r="E1323" s="3">
        <v>27.3</v>
      </c>
      <c r="F1323">
        <v>32</v>
      </c>
      <c r="G1323">
        <v>14</v>
      </c>
      <c r="H1323" s="4">
        <v>4.4000000000000004</v>
      </c>
      <c r="I1323" t="s">
        <v>46</v>
      </c>
      <c r="J1323" t="s">
        <v>33</v>
      </c>
      <c r="K1323" t="s">
        <v>47</v>
      </c>
      <c r="L1323">
        <f t="shared" si="40"/>
        <v>2020</v>
      </c>
      <c r="M1323" t="str">
        <f t="shared" si="41"/>
        <v>COVID Period</v>
      </c>
    </row>
    <row r="1324" spans="1:13" x14ac:dyDescent="0.25">
      <c r="A1324" s="2">
        <v>44179</v>
      </c>
      <c r="B1324" t="s">
        <v>42</v>
      </c>
      <c r="C1324">
        <v>33</v>
      </c>
      <c r="D1324" s="3">
        <v>4.22</v>
      </c>
      <c r="E1324" s="3">
        <v>139.26</v>
      </c>
      <c r="F1324">
        <v>39</v>
      </c>
      <c r="G1324">
        <v>9</v>
      </c>
      <c r="H1324" s="4">
        <v>4.2</v>
      </c>
      <c r="I1324" t="s">
        <v>46</v>
      </c>
      <c r="J1324" t="s">
        <v>33</v>
      </c>
      <c r="K1324" t="s">
        <v>47</v>
      </c>
      <c r="L1324">
        <f t="shared" si="40"/>
        <v>2020</v>
      </c>
      <c r="M1324" t="str">
        <f t="shared" si="41"/>
        <v>COVID Period</v>
      </c>
    </row>
    <row r="1325" spans="1:13" x14ac:dyDescent="0.25">
      <c r="A1325" s="2">
        <v>44179</v>
      </c>
      <c r="B1325" t="s">
        <v>43</v>
      </c>
      <c r="C1325">
        <v>19</v>
      </c>
      <c r="D1325" s="3">
        <v>5.29</v>
      </c>
      <c r="E1325" s="3">
        <v>100.51</v>
      </c>
      <c r="F1325">
        <v>29</v>
      </c>
      <c r="G1325">
        <v>12</v>
      </c>
      <c r="H1325" s="4">
        <v>3.8</v>
      </c>
      <c r="I1325" t="s">
        <v>46</v>
      </c>
      <c r="J1325" t="s">
        <v>33</v>
      </c>
      <c r="L1325">
        <f t="shared" si="40"/>
        <v>2020</v>
      </c>
      <c r="M1325" t="str">
        <f t="shared" si="41"/>
        <v>COVID Period</v>
      </c>
    </row>
    <row r="1326" spans="1:13" x14ac:dyDescent="0.25">
      <c r="A1326" s="2">
        <v>44179</v>
      </c>
      <c r="B1326" t="s">
        <v>44</v>
      </c>
      <c r="C1326">
        <v>0</v>
      </c>
      <c r="D1326" s="3">
        <v>4.95</v>
      </c>
      <c r="E1326" s="3">
        <v>0</v>
      </c>
      <c r="F1326">
        <v>3</v>
      </c>
      <c r="G1326">
        <v>3</v>
      </c>
      <c r="H1326" s="4">
        <v>1.3</v>
      </c>
      <c r="I1326" t="s">
        <v>33</v>
      </c>
      <c r="J1326" t="s">
        <v>33</v>
      </c>
      <c r="L1326">
        <f t="shared" si="40"/>
        <v>2020</v>
      </c>
      <c r="M1326" t="str">
        <f t="shared" si="41"/>
        <v>COVID Period</v>
      </c>
    </row>
    <row r="1327" spans="1:13" x14ac:dyDescent="0.25">
      <c r="A1327" s="2">
        <v>44179</v>
      </c>
      <c r="B1327" t="s">
        <v>45</v>
      </c>
      <c r="C1327">
        <v>0</v>
      </c>
      <c r="D1327" s="3">
        <v>14.87</v>
      </c>
      <c r="E1327" s="3">
        <v>0</v>
      </c>
      <c r="F1327">
        <v>3</v>
      </c>
      <c r="G1327">
        <v>3</v>
      </c>
      <c r="H1327" s="4">
        <v>2.2000000000000002</v>
      </c>
      <c r="I1327" t="s">
        <v>46</v>
      </c>
      <c r="J1327" t="s">
        <v>33</v>
      </c>
      <c r="L1327">
        <f t="shared" si="40"/>
        <v>2020</v>
      </c>
      <c r="M1327" t="str">
        <f t="shared" si="41"/>
        <v>COVID Period</v>
      </c>
    </row>
    <row r="1328" spans="1:13" x14ac:dyDescent="0.25">
      <c r="A1328" s="2">
        <v>44186</v>
      </c>
      <c r="B1328" t="s">
        <v>32</v>
      </c>
      <c r="C1328">
        <v>29</v>
      </c>
      <c r="D1328" s="3">
        <v>7.14</v>
      </c>
      <c r="E1328" s="3">
        <v>207.06</v>
      </c>
      <c r="F1328">
        <v>32</v>
      </c>
      <c r="G1328">
        <v>8</v>
      </c>
      <c r="H1328" s="4">
        <v>2.4</v>
      </c>
      <c r="I1328" t="s">
        <v>33</v>
      </c>
      <c r="J1328" t="s">
        <v>33</v>
      </c>
      <c r="L1328">
        <f t="shared" si="40"/>
        <v>2020</v>
      </c>
      <c r="M1328" t="str">
        <f t="shared" si="41"/>
        <v>COVID Period</v>
      </c>
    </row>
    <row r="1329" spans="1:13" x14ac:dyDescent="0.25">
      <c r="A1329" s="2">
        <v>44186</v>
      </c>
      <c r="B1329" t="s">
        <v>34</v>
      </c>
      <c r="C1329">
        <v>21</v>
      </c>
      <c r="D1329" s="3">
        <v>7.24</v>
      </c>
      <c r="E1329" s="3">
        <v>152.04</v>
      </c>
      <c r="F1329">
        <v>29</v>
      </c>
      <c r="G1329">
        <v>11</v>
      </c>
      <c r="H1329" s="4">
        <v>1.4</v>
      </c>
      <c r="I1329" t="s">
        <v>33</v>
      </c>
      <c r="J1329" t="s">
        <v>33</v>
      </c>
      <c r="L1329">
        <f t="shared" si="40"/>
        <v>2020</v>
      </c>
      <c r="M1329" t="str">
        <f t="shared" si="41"/>
        <v>COVID Period</v>
      </c>
    </row>
    <row r="1330" spans="1:13" x14ac:dyDescent="0.25">
      <c r="A1330" s="2">
        <v>44186</v>
      </c>
      <c r="B1330" t="s">
        <v>35</v>
      </c>
      <c r="C1330">
        <v>18</v>
      </c>
      <c r="D1330" s="3">
        <v>5.97</v>
      </c>
      <c r="E1330" s="3">
        <v>107.46</v>
      </c>
      <c r="F1330">
        <v>24</v>
      </c>
      <c r="G1330">
        <v>9</v>
      </c>
      <c r="H1330" s="4">
        <v>1.1000000000000001</v>
      </c>
      <c r="I1330" t="s">
        <v>33</v>
      </c>
      <c r="J1330" t="s">
        <v>33</v>
      </c>
      <c r="L1330">
        <f t="shared" si="40"/>
        <v>2020</v>
      </c>
      <c r="M1330" t="str">
        <f t="shared" si="41"/>
        <v>COVID Period</v>
      </c>
    </row>
    <row r="1331" spans="1:13" x14ac:dyDescent="0.25">
      <c r="A1331" s="2">
        <v>44186</v>
      </c>
      <c r="B1331" t="s">
        <v>36</v>
      </c>
      <c r="C1331">
        <v>16</v>
      </c>
      <c r="D1331" s="3">
        <v>6.43</v>
      </c>
      <c r="E1331" s="3">
        <v>102.88</v>
      </c>
      <c r="F1331">
        <v>20</v>
      </c>
      <c r="G1331">
        <v>5</v>
      </c>
      <c r="H1331" s="4">
        <v>2.1</v>
      </c>
      <c r="I1331" t="s">
        <v>33</v>
      </c>
      <c r="J1331" t="s">
        <v>33</v>
      </c>
      <c r="L1331">
        <f t="shared" si="40"/>
        <v>2020</v>
      </c>
      <c r="M1331" t="str">
        <f t="shared" si="41"/>
        <v>COVID Period</v>
      </c>
    </row>
    <row r="1332" spans="1:13" x14ac:dyDescent="0.25">
      <c r="A1332" s="2">
        <v>44186</v>
      </c>
      <c r="B1332" t="s">
        <v>37</v>
      </c>
      <c r="C1332">
        <v>43</v>
      </c>
      <c r="D1332" s="3">
        <v>3.17</v>
      </c>
      <c r="E1332" s="3">
        <v>136.31</v>
      </c>
      <c r="F1332">
        <v>44</v>
      </c>
      <c r="G1332">
        <v>2</v>
      </c>
      <c r="H1332" s="4">
        <v>1.8</v>
      </c>
      <c r="I1332" t="s">
        <v>33</v>
      </c>
      <c r="J1332" t="s">
        <v>33</v>
      </c>
      <c r="L1332">
        <f t="shared" si="40"/>
        <v>2020</v>
      </c>
      <c r="M1332" t="str">
        <f t="shared" si="41"/>
        <v>COVID Period</v>
      </c>
    </row>
    <row r="1333" spans="1:13" x14ac:dyDescent="0.25">
      <c r="A1333" s="2">
        <v>44186</v>
      </c>
      <c r="B1333" t="s">
        <v>38</v>
      </c>
      <c r="C1333">
        <v>16</v>
      </c>
      <c r="D1333" s="3">
        <v>8.3000000000000007</v>
      </c>
      <c r="E1333" s="3">
        <v>132.80000000000001</v>
      </c>
      <c r="F1333">
        <v>25</v>
      </c>
      <c r="G1333">
        <v>13</v>
      </c>
      <c r="H1333" s="4">
        <v>2</v>
      </c>
      <c r="I1333" t="s">
        <v>33</v>
      </c>
      <c r="J1333" t="s">
        <v>33</v>
      </c>
      <c r="L1333">
        <f t="shared" si="40"/>
        <v>2020</v>
      </c>
      <c r="M1333" t="str">
        <f t="shared" si="41"/>
        <v>COVID Period</v>
      </c>
    </row>
    <row r="1334" spans="1:13" x14ac:dyDescent="0.25">
      <c r="A1334" s="2">
        <v>44186</v>
      </c>
      <c r="B1334" t="s">
        <v>39</v>
      </c>
      <c r="C1334">
        <v>43</v>
      </c>
      <c r="D1334" s="3">
        <v>11.91</v>
      </c>
      <c r="E1334" s="3">
        <v>512.13</v>
      </c>
      <c r="F1334">
        <v>44</v>
      </c>
      <c r="G1334">
        <v>7</v>
      </c>
      <c r="H1334" s="4">
        <v>1.9</v>
      </c>
      <c r="I1334" t="s">
        <v>46</v>
      </c>
      <c r="J1334" t="s">
        <v>33</v>
      </c>
      <c r="K1334" t="s">
        <v>48</v>
      </c>
      <c r="L1334">
        <f t="shared" si="40"/>
        <v>2020</v>
      </c>
      <c r="M1334" t="str">
        <f t="shared" si="41"/>
        <v>COVID Period</v>
      </c>
    </row>
    <row r="1335" spans="1:13" x14ac:dyDescent="0.25">
      <c r="A1335" s="2">
        <v>44186</v>
      </c>
      <c r="B1335" t="s">
        <v>40</v>
      </c>
      <c r="C1335">
        <v>55</v>
      </c>
      <c r="D1335" s="3">
        <v>0.65</v>
      </c>
      <c r="E1335" s="3">
        <v>35.75</v>
      </c>
      <c r="F1335">
        <v>77</v>
      </c>
      <c r="G1335">
        <v>23</v>
      </c>
      <c r="H1335" s="4">
        <v>1.7</v>
      </c>
      <c r="I1335" t="s">
        <v>46</v>
      </c>
      <c r="J1335" t="s">
        <v>33</v>
      </c>
      <c r="K1335" t="s">
        <v>47</v>
      </c>
      <c r="L1335">
        <f t="shared" si="40"/>
        <v>2020</v>
      </c>
      <c r="M1335" t="str">
        <f t="shared" si="41"/>
        <v>COVID Period</v>
      </c>
    </row>
    <row r="1336" spans="1:13" x14ac:dyDescent="0.25">
      <c r="A1336" s="2">
        <v>44186</v>
      </c>
      <c r="B1336" t="s">
        <v>41</v>
      </c>
      <c r="C1336">
        <v>24</v>
      </c>
      <c r="D1336" s="3">
        <v>1.31</v>
      </c>
      <c r="E1336" s="3">
        <v>31.44</v>
      </c>
      <c r="F1336">
        <v>38</v>
      </c>
      <c r="G1336">
        <v>15</v>
      </c>
      <c r="H1336" s="4">
        <v>4.7</v>
      </c>
      <c r="I1336" t="s">
        <v>46</v>
      </c>
      <c r="J1336" t="s">
        <v>33</v>
      </c>
      <c r="K1336" t="s">
        <v>47</v>
      </c>
      <c r="L1336">
        <f t="shared" si="40"/>
        <v>2020</v>
      </c>
      <c r="M1336" t="str">
        <f t="shared" si="41"/>
        <v>COVID Period</v>
      </c>
    </row>
    <row r="1337" spans="1:13" x14ac:dyDescent="0.25">
      <c r="A1337" s="2">
        <v>44186</v>
      </c>
      <c r="B1337" t="s">
        <v>42</v>
      </c>
      <c r="C1337">
        <v>35</v>
      </c>
      <c r="D1337" s="3">
        <v>4.28</v>
      </c>
      <c r="E1337" s="3">
        <v>149.80000000000001</v>
      </c>
      <c r="F1337">
        <v>38</v>
      </c>
      <c r="G1337">
        <v>5</v>
      </c>
      <c r="H1337" s="4">
        <v>2.5</v>
      </c>
      <c r="I1337" t="s">
        <v>46</v>
      </c>
      <c r="J1337" t="s">
        <v>33</v>
      </c>
      <c r="K1337" t="s">
        <v>47</v>
      </c>
      <c r="L1337">
        <f t="shared" si="40"/>
        <v>2020</v>
      </c>
      <c r="M1337" t="str">
        <f t="shared" si="41"/>
        <v>COVID Period</v>
      </c>
    </row>
    <row r="1338" spans="1:13" x14ac:dyDescent="0.25">
      <c r="A1338" s="2">
        <v>44186</v>
      </c>
      <c r="B1338" t="s">
        <v>43</v>
      </c>
      <c r="C1338">
        <v>14</v>
      </c>
      <c r="D1338" s="3">
        <v>5.39</v>
      </c>
      <c r="E1338" s="3">
        <v>75.459999999999994</v>
      </c>
      <c r="F1338">
        <v>21</v>
      </c>
      <c r="G1338">
        <v>9</v>
      </c>
      <c r="H1338" s="4">
        <v>6.1</v>
      </c>
      <c r="I1338" t="s">
        <v>46</v>
      </c>
      <c r="J1338" t="s">
        <v>33</v>
      </c>
      <c r="L1338">
        <f t="shared" si="40"/>
        <v>2020</v>
      </c>
      <c r="M1338" t="str">
        <f t="shared" si="41"/>
        <v>COVID Period</v>
      </c>
    </row>
    <row r="1339" spans="1:13" x14ac:dyDescent="0.25">
      <c r="A1339" s="2">
        <v>44186</v>
      </c>
      <c r="B1339" t="s">
        <v>44</v>
      </c>
      <c r="C1339">
        <v>0</v>
      </c>
      <c r="D1339" s="3">
        <v>4.82</v>
      </c>
      <c r="E1339" s="3">
        <v>0</v>
      </c>
      <c r="F1339">
        <v>3</v>
      </c>
      <c r="G1339">
        <v>3</v>
      </c>
      <c r="H1339" s="4">
        <v>2.6</v>
      </c>
      <c r="I1339" t="s">
        <v>33</v>
      </c>
      <c r="J1339" t="s">
        <v>33</v>
      </c>
      <c r="L1339">
        <f t="shared" si="40"/>
        <v>2020</v>
      </c>
      <c r="M1339" t="str">
        <f t="shared" si="41"/>
        <v>COVID Period</v>
      </c>
    </row>
    <row r="1340" spans="1:13" x14ac:dyDescent="0.25">
      <c r="A1340" s="2">
        <v>44186</v>
      </c>
      <c r="B1340" t="s">
        <v>45</v>
      </c>
      <c r="C1340">
        <v>0</v>
      </c>
      <c r="D1340" s="3">
        <v>15.03</v>
      </c>
      <c r="E1340" s="3">
        <v>0</v>
      </c>
      <c r="F1340">
        <v>3</v>
      </c>
      <c r="G1340">
        <v>3</v>
      </c>
      <c r="H1340" s="4">
        <v>3.9</v>
      </c>
      <c r="I1340" t="s">
        <v>46</v>
      </c>
      <c r="J1340" t="s">
        <v>33</v>
      </c>
      <c r="L1340">
        <f t="shared" si="40"/>
        <v>2020</v>
      </c>
      <c r="M1340" t="str">
        <f t="shared" si="41"/>
        <v>COVID Period</v>
      </c>
    </row>
    <row r="1341" spans="1:13" x14ac:dyDescent="0.25">
      <c r="A1341" s="2">
        <v>44193</v>
      </c>
      <c r="B1341" t="s">
        <v>32</v>
      </c>
      <c r="C1341">
        <v>23</v>
      </c>
      <c r="D1341" s="3">
        <v>6.7</v>
      </c>
      <c r="E1341" s="3">
        <v>154.1</v>
      </c>
      <c r="F1341">
        <v>33</v>
      </c>
      <c r="G1341">
        <v>12</v>
      </c>
      <c r="H1341" s="4">
        <v>2.5</v>
      </c>
      <c r="I1341" t="s">
        <v>33</v>
      </c>
      <c r="J1341" t="s">
        <v>33</v>
      </c>
      <c r="L1341">
        <f t="shared" si="40"/>
        <v>2020</v>
      </c>
      <c r="M1341" t="str">
        <f t="shared" si="41"/>
        <v>COVID Period</v>
      </c>
    </row>
    <row r="1342" spans="1:13" x14ac:dyDescent="0.25">
      <c r="A1342" s="2">
        <v>44193</v>
      </c>
      <c r="B1342" t="s">
        <v>34</v>
      </c>
      <c r="C1342">
        <v>27</v>
      </c>
      <c r="D1342" s="3">
        <v>7.15</v>
      </c>
      <c r="E1342" s="3">
        <v>193.05</v>
      </c>
      <c r="F1342">
        <v>31</v>
      </c>
      <c r="G1342">
        <v>5</v>
      </c>
      <c r="H1342" s="4">
        <v>1.7</v>
      </c>
      <c r="I1342" t="s">
        <v>33</v>
      </c>
      <c r="J1342" t="s">
        <v>33</v>
      </c>
      <c r="L1342">
        <f t="shared" si="40"/>
        <v>2020</v>
      </c>
      <c r="M1342" t="str">
        <f t="shared" si="41"/>
        <v>COVID Period</v>
      </c>
    </row>
    <row r="1343" spans="1:13" x14ac:dyDescent="0.25">
      <c r="A1343" s="2">
        <v>44193</v>
      </c>
      <c r="B1343" t="s">
        <v>35</v>
      </c>
      <c r="C1343">
        <v>18</v>
      </c>
      <c r="D1343" s="3">
        <v>6.09</v>
      </c>
      <c r="E1343" s="3">
        <v>109.62</v>
      </c>
      <c r="F1343">
        <v>26</v>
      </c>
      <c r="G1343">
        <v>11</v>
      </c>
      <c r="H1343" s="4">
        <v>0.8</v>
      </c>
      <c r="I1343" t="s">
        <v>33</v>
      </c>
      <c r="J1343" t="s">
        <v>33</v>
      </c>
      <c r="L1343">
        <f t="shared" si="40"/>
        <v>2020</v>
      </c>
      <c r="M1343" t="str">
        <f t="shared" si="41"/>
        <v>COVID Period</v>
      </c>
    </row>
    <row r="1344" spans="1:13" x14ac:dyDescent="0.25">
      <c r="A1344" s="2">
        <v>44193</v>
      </c>
      <c r="B1344" t="s">
        <v>36</v>
      </c>
      <c r="C1344">
        <v>20</v>
      </c>
      <c r="D1344" s="3">
        <v>6.2</v>
      </c>
      <c r="E1344" s="3">
        <v>124</v>
      </c>
      <c r="F1344">
        <v>24</v>
      </c>
      <c r="G1344">
        <v>5</v>
      </c>
      <c r="H1344" s="4">
        <v>3.1</v>
      </c>
      <c r="I1344" t="s">
        <v>46</v>
      </c>
      <c r="J1344" t="s">
        <v>33</v>
      </c>
      <c r="L1344">
        <f t="shared" si="40"/>
        <v>2020</v>
      </c>
      <c r="M1344" t="str">
        <f t="shared" si="41"/>
        <v>COVID Period</v>
      </c>
    </row>
    <row r="1345" spans="1:13" x14ac:dyDescent="0.25">
      <c r="A1345" s="2">
        <v>44193</v>
      </c>
      <c r="B1345" t="s">
        <v>37</v>
      </c>
      <c r="C1345">
        <v>42</v>
      </c>
      <c r="D1345" s="3">
        <v>3.16</v>
      </c>
      <c r="E1345" s="3">
        <v>132.72</v>
      </c>
      <c r="F1345">
        <v>55</v>
      </c>
      <c r="G1345">
        <v>22</v>
      </c>
      <c r="H1345" s="4">
        <v>1.8</v>
      </c>
      <c r="I1345" t="s">
        <v>33</v>
      </c>
      <c r="J1345" t="s">
        <v>33</v>
      </c>
      <c r="L1345">
        <f t="shared" si="40"/>
        <v>2020</v>
      </c>
      <c r="M1345" t="str">
        <f t="shared" si="41"/>
        <v>COVID Period</v>
      </c>
    </row>
    <row r="1346" spans="1:13" x14ac:dyDescent="0.25">
      <c r="A1346" s="2">
        <v>44193</v>
      </c>
      <c r="B1346" t="s">
        <v>38</v>
      </c>
      <c r="C1346">
        <v>16</v>
      </c>
      <c r="D1346" s="3">
        <v>8.6999999999999993</v>
      </c>
      <c r="E1346" s="3">
        <v>139.19999999999999</v>
      </c>
      <c r="F1346">
        <v>24</v>
      </c>
      <c r="G1346">
        <v>12</v>
      </c>
      <c r="H1346" s="4">
        <v>1.8</v>
      </c>
      <c r="I1346" t="s">
        <v>33</v>
      </c>
      <c r="J1346" t="s">
        <v>33</v>
      </c>
      <c r="L1346">
        <f t="shared" ref="L1346:L1409" si="42">YEAR(A1346)</f>
        <v>2020</v>
      </c>
      <c r="M1346" t="str">
        <f t="shared" ref="M1346:M1409" si="43">IF(L1346=2019,"Pre-COVID","COVID Period")</f>
        <v>COVID Period</v>
      </c>
    </row>
    <row r="1347" spans="1:13" x14ac:dyDescent="0.25">
      <c r="A1347" s="2">
        <v>44193</v>
      </c>
      <c r="B1347" t="s">
        <v>39</v>
      </c>
      <c r="C1347">
        <v>33</v>
      </c>
      <c r="D1347" s="3">
        <v>11.8</v>
      </c>
      <c r="E1347" s="3">
        <v>389.4</v>
      </c>
      <c r="F1347">
        <v>35</v>
      </c>
      <c r="G1347">
        <v>3</v>
      </c>
      <c r="H1347" s="4">
        <v>1.8</v>
      </c>
      <c r="I1347" t="s">
        <v>46</v>
      </c>
      <c r="J1347" t="s">
        <v>33</v>
      </c>
      <c r="K1347" t="s">
        <v>48</v>
      </c>
      <c r="L1347">
        <f t="shared" si="42"/>
        <v>2020</v>
      </c>
      <c r="M1347" t="str">
        <f t="shared" si="43"/>
        <v>COVID Period</v>
      </c>
    </row>
    <row r="1348" spans="1:13" x14ac:dyDescent="0.25">
      <c r="A1348" s="2">
        <v>44193</v>
      </c>
      <c r="B1348" t="s">
        <v>40</v>
      </c>
      <c r="C1348">
        <v>50</v>
      </c>
      <c r="D1348" s="3">
        <v>0.63</v>
      </c>
      <c r="E1348" s="3">
        <v>31.5</v>
      </c>
      <c r="F1348">
        <v>55</v>
      </c>
      <c r="G1348">
        <v>9</v>
      </c>
      <c r="H1348" s="4">
        <v>3.1</v>
      </c>
      <c r="I1348" t="s">
        <v>46</v>
      </c>
      <c r="J1348" t="s">
        <v>33</v>
      </c>
      <c r="K1348" t="s">
        <v>47</v>
      </c>
      <c r="L1348">
        <f t="shared" si="42"/>
        <v>2020</v>
      </c>
      <c r="M1348" t="str">
        <f t="shared" si="43"/>
        <v>COVID Period</v>
      </c>
    </row>
    <row r="1349" spans="1:13" x14ac:dyDescent="0.25">
      <c r="A1349" s="2">
        <v>44193</v>
      </c>
      <c r="B1349" t="s">
        <v>41</v>
      </c>
      <c r="C1349">
        <v>26</v>
      </c>
      <c r="D1349" s="3">
        <v>1.33</v>
      </c>
      <c r="E1349" s="3">
        <v>34.58</v>
      </c>
      <c r="F1349">
        <v>39</v>
      </c>
      <c r="G1349">
        <v>18</v>
      </c>
      <c r="H1349" s="4">
        <v>4</v>
      </c>
      <c r="I1349" t="s">
        <v>46</v>
      </c>
      <c r="J1349" t="s">
        <v>33</v>
      </c>
      <c r="K1349" t="s">
        <v>47</v>
      </c>
      <c r="L1349">
        <f t="shared" si="42"/>
        <v>2020</v>
      </c>
      <c r="M1349" t="str">
        <f t="shared" si="43"/>
        <v>COVID Period</v>
      </c>
    </row>
    <row r="1350" spans="1:13" x14ac:dyDescent="0.25">
      <c r="A1350" s="2">
        <v>44193</v>
      </c>
      <c r="B1350" t="s">
        <v>42</v>
      </c>
      <c r="C1350">
        <v>20</v>
      </c>
      <c r="D1350" s="3">
        <v>4.17</v>
      </c>
      <c r="E1350" s="3">
        <v>83.4</v>
      </c>
      <c r="F1350">
        <v>32</v>
      </c>
      <c r="G1350">
        <v>16</v>
      </c>
      <c r="H1350" s="4">
        <v>4.0999999999999996</v>
      </c>
      <c r="I1350" t="s">
        <v>46</v>
      </c>
      <c r="J1350" t="s">
        <v>33</v>
      </c>
      <c r="K1350" t="s">
        <v>47</v>
      </c>
      <c r="L1350">
        <f t="shared" si="42"/>
        <v>2020</v>
      </c>
      <c r="M1350" t="str">
        <f t="shared" si="43"/>
        <v>COVID Period</v>
      </c>
    </row>
    <row r="1351" spans="1:13" x14ac:dyDescent="0.25">
      <c r="A1351" s="2">
        <v>44193</v>
      </c>
      <c r="B1351" t="s">
        <v>43</v>
      </c>
      <c r="C1351">
        <v>15</v>
      </c>
      <c r="D1351" s="3">
        <v>5.3</v>
      </c>
      <c r="E1351" s="3">
        <v>79.5</v>
      </c>
      <c r="F1351">
        <v>17</v>
      </c>
      <c r="G1351">
        <v>4</v>
      </c>
      <c r="H1351" s="4">
        <v>2.2999999999999998</v>
      </c>
      <c r="I1351" t="s">
        <v>46</v>
      </c>
      <c r="J1351" t="s">
        <v>33</v>
      </c>
      <c r="L1351">
        <f t="shared" si="42"/>
        <v>2020</v>
      </c>
      <c r="M1351" t="str">
        <f t="shared" si="43"/>
        <v>COVID Period</v>
      </c>
    </row>
    <row r="1352" spans="1:13" x14ac:dyDescent="0.25">
      <c r="A1352" s="2">
        <v>44193</v>
      </c>
      <c r="B1352" t="s">
        <v>44</v>
      </c>
      <c r="C1352">
        <v>1</v>
      </c>
      <c r="D1352" s="3">
        <v>4.97</v>
      </c>
      <c r="E1352" s="3">
        <v>4.97</v>
      </c>
      <c r="F1352">
        <v>3</v>
      </c>
      <c r="G1352">
        <v>2</v>
      </c>
      <c r="H1352" s="4">
        <v>2.2000000000000002</v>
      </c>
      <c r="I1352" t="s">
        <v>46</v>
      </c>
      <c r="J1352" t="s">
        <v>46</v>
      </c>
      <c r="K1352" t="s">
        <v>47</v>
      </c>
      <c r="L1352">
        <f t="shared" si="42"/>
        <v>2020</v>
      </c>
      <c r="M1352" t="str">
        <f t="shared" si="43"/>
        <v>COVID Period</v>
      </c>
    </row>
    <row r="1353" spans="1:13" x14ac:dyDescent="0.25">
      <c r="A1353" s="2">
        <v>44193</v>
      </c>
      <c r="B1353" t="s">
        <v>45</v>
      </c>
      <c r="C1353">
        <v>0</v>
      </c>
      <c r="D1353" s="3">
        <v>14.58</v>
      </c>
      <c r="E1353" s="3">
        <v>0</v>
      </c>
      <c r="F1353">
        <v>3</v>
      </c>
      <c r="G1353">
        <v>3</v>
      </c>
      <c r="H1353" s="4">
        <v>2.8</v>
      </c>
      <c r="I1353" t="s">
        <v>46</v>
      </c>
      <c r="J1353" t="s">
        <v>33</v>
      </c>
      <c r="L1353">
        <f t="shared" si="42"/>
        <v>2020</v>
      </c>
      <c r="M1353" t="str">
        <f t="shared" si="43"/>
        <v>COVID Period</v>
      </c>
    </row>
    <row r="1354" spans="1:13" x14ac:dyDescent="0.25">
      <c r="A1354" s="2">
        <v>44200</v>
      </c>
      <c r="B1354" t="s">
        <v>32</v>
      </c>
      <c r="C1354">
        <v>25</v>
      </c>
      <c r="D1354" s="3">
        <v>6.72</v>
      </c>
      <c r="E1354" s="3">
        <v>168</v>
      </c>
      <c r="F1354">
        <v>36</v>
      </c>
      <c r="G1354">
        <v>12</v>
      </c>
      <c r="H1354" s="4">
        <v>2.7</v>
      </c>
      <c r="I1354" t="s">
        <v>33</v>
      </c>
      <c r="J1354" t="s">
        <v>33</v>
      </c>
      <c r="L1354">
        <f t="shared" si="42"/>
        <v>2021</v>
      </c>
      <c r="M1354" t="str">
        <f t="shared" si="43"/>
        <v>COVID Period</v>
      </c>
    </row>
    <row r="1355" spans="1:13" x14ac:dyDescent="0.25">
      <c r="A1355" s="2">
        <v>44200</v>
      </c>
      <c r="B1355" t="s">
        <v>34</v>
      </c>
      <c r="C1355">
        <v>23</v>
      </c>
      <c r="D1355" s="3">
        <v>6.91</v>
      </c>
      <c r="E1355" s="3">
        <v>158.93</v>
      </c>
      <c r="F1355">
        <v>28</v>
      </c>
      <c r="G1355">
        <v>9</v>
      </c>
      <c r="H1355" s="4">
        <v>1.5</v>
      </c>
      <c r="I1355" t="s">
        <v>33</v>
      </c>
      <c r="J1355" t="s">
        <v>33</v>
      </c>
      <c r="L1355">
        <f t="shared" si="42"/>
        <v>2021</v>
      </c>
      <c r="M1355" t="str">
        <f t="shared" si="43"/>
        <v>COVID Period</v>
      </c>
    </row>
    <row r="1356" spans="1:13" x14ac:dyDescent="0.25">
      <c r="A1356" s="2">
        <v>44200</v>
      </c>
      <c r="B1356" t="s">
        <v>35</v>
      </c>
      <c r="C1356">
        <v>12</v>
      </c>
      <c r="D1356" s="3">
        <v>6.05</v>
      </c>
      <c r="E1356" s="3">
        <v>72.599999999999994</v>
      </c>
      <c r="F1356">
        <v>20</v>
      </c>
      <c r="G1356">
        <v>9</v>
      </c>
      <c r="H1356" s="4">
        <v>2.5</v>
      </c>
      <c r="I1356" t="s">
        <v>33</v>
      </c>
      <c r="J1356" t="s">
        <v>33</v>
      </c>
      <c r="L1356">
        <f t="shared" si="42"/>
        <v>2021</v>
      </c>
      <c r="M1356" t="str">
        <f t="shared" si="43"/>
        <v>COVID Period</v>
      </c>
    </row>
    <row r="1357" spans="1:13" x14ac:dyDescent="0.25">
      <c r="A1357" s="2">
        <v>44200</v>
      </c>
      <c r="B1357" t="s">
        <v>36</v>
      </c>
      <c r="C1357">
        <v>17</v>
      </c>
      <c r="D1357" s="3">
        <v>6.09</v>
      </c>
      <c r="E1357" s="3">
        <v>103.53</v>
      </c>
      <c r="F1357">
        <v>21</v>
      </c>
      <c r="G1357">
        <v>4</v>
      </c>
      <c r="H1357" s="4">
        <v>1.5</v>
      </c>
      <c r="I1357" t="s">
        <v>33</v>
      </c>
      <c r="J1357" t="s">
        <v>33</v>
      </c>
      <c r="L1357">
        <f t="shared" si="42"/>
        <v>2021</v>
      </c>
      <c r="M1357" t="str">
        <f t="shared" si="43"/>
        <v>COVID Period</v>
      </c>
    </row>
    <row r="1358" spans="1:13" x14ac:dyDescent="0.25">
      <c r="A1358" s="2">
        <v>44200</v>
      </c>
      <c r="B1358" t="s">
        <v>37</v>
      </c>
      <c r="C1358">
        <v>37</v>
      </c>
      <c r="D1358" s="3">
        <v>3.26</v>
      </c>
      <c r="E1358" s="3">
        <v>120.62</v>
      </c>
      <c r="F1358">
        <v>52</v>
      </c>
      <c r="G1358">
        <v>19</v>
      </c>
      <c r="H1358" s="4">
        <v>2.2999999999999998</v>
      </c>
      <c r="I1358" t="s">
        <v>33</v>
      </c>
      <c r="J1358" t="s">
        <v>33</v>
      </c>
      <c r="L1358">
        <f t="shared" si="42"/>
        <v>2021</v>
      </c>
      <c r="M1358" t="str">
        <f t="shared" si="43"/>
        <v>COVID Period</v>
      </c>
    </row>
    <row r="1359" spans="1:13" x14ac:dyDescent="0.25">
      <c r="A1359" s="2">
        <v>44200</v>
      </c>
      <c r="B1359" t="s">
        <v>38</v>
      </c>
      <c r="C1359">
        <v>22</v>
      </c>
      <c r="D1359" s="3">
        <v>8.3699999999999992</v>
      </c>
      <c r="E1359" s="3">
        <v>184.14</v>
      </c>
      <c r="F1359">
        <v>27</v>
      </c>
      <c r="G1359">
        <v>9</v>
      </c>
      <c r="H1359" s="4">
        <v>2</v>
      </c>
      <c r="I1359" t="s">
        <v>33</v>
      </c>
      <c r="J1359" t="s">
        <v>33</v>
      </c>
      <c r="L1359">
        <f t="shared" si="42"/>
        <v>2021</v>
      </c>
      <c r="M1359" t="str">
        <f t="shared" si="43"/>
        <v>COVID Period</v>
      </c>
    </row>
    <row r="1360" spans="1:13" x14ac:dyDescent="0.25">
      <c r="A1360" s="2">
        <v>44200</v>
      </c>
      <c r="B1360" t="s">
        <v>39</v>
      </c>
      <c r="C1360">
        <v>36</v>
      </c>
      <c r="D1360" s="3">
        <v>12.07</v>
      </c>
      <c r="E1360" s="3">
        <v>434.52</v>
      </c>
      <c r="F1360">
        <v>53</v>
      </c>
      <c r="G1360">
        <v>22</v>
      </c>
      <c r="H1360" s="4">
        <v>2.2999999999999998</v>
      </c>
      <c r="I1360" t="s">
        <v>46</v>
      </c>
      <c r="J1360" t="s">
        <v>33</v>
      </c>
      <c r="K1360" t="s">
        <v>48</v>
      </c>
      <c r="L1360">
        <f t="shared" si="42"/>
        <v>2021</v>
      </c>
      <c r="M1360" t="str">
        <f t="shared" si="43"/>
        <v>COVID Period</v>
      </c>
    </row>
    <row r="1361" spans="1:13" x14ac:dyDescent="0.25">
      <c r="A1361" s="2">
        <v>44200</v>
      </c>
      <c r="B1361" t="s">
        <v>40</v>
      </c>
      <c r="C1361">
        <v>24</v>
      </c>
      <c r="D1361" s="3">
        <v>0.63</v>
      </c>
      <c r="E1361" s="3">
        <v>15.12</v>
      </c>
      <c r="F1361">
        <v>32</v>
      </c>
      <c r="G1361">
        <v>8</v>
      </c>
      <c r="H1361" s="4">
        <v>4.3</v>
      </c>
      <c r="I1361" t="s">
        <v>46</v>
      </c>
      <c r="J1361" t="s">
        <v>33</v>
      </c>
      <c r="K1361" t="s">
        <v>47</v>
      </c>
      <c r="L1361">
        <f t="shared" si="42"/>
        <v>2021</v>
      </c>
      <c r="M1361" t="str">
        <f t="shared" si="43"/>
        <v>COVID Period</v>
      </c>
    </row>
    <row r="1362" spans="1:13" x14ac:dyDescent="0.25">
      <c r="A1362" s="2">
        <v>44200</v>
      </c>
      <c r="B1362" t="s">
        <v>41</v>
      </c>
      <c r="C1362">
        <v>33</v>
      </c>
      <c r="D1362" s="3">
        <v>1.38</v>
      </c>
      <c r="E1362" s="3">
        <v>45.54</v>
      </c>
      <c r="F1362">
        <v>38</v>
      </c>
      <c r="G1362">
        <v>8</v>
      </c>
      <c r="H1362" s="4">
        <v>3.7</v>
      </c>
      <c r="I1362" t="s">
        <v>46</v>
      </c>
      <c r="J1362" t="s">
        <v>33</v>
      </c>
      <c r="K1362" t="s">
        <v>47</v>
      </c>
      <c r="L1362">
        <f t="shared" si="42"/>
        <v>2021</v>
      </c>
      <c r="M1362" t="str">
        <f t="shared" si="43"/>
        <v>COVID Period</v>
      </c>
    </row>
    <row r="1363" spans="1:13" x14ac:dyDescent="0.25">
      <c r="A1363" s="2">
        <v>44200</v>
      </c>
      <c r="B1363" t="s">
        <v>42</v>
      </c>
      <c r="C1363">
        <v>43</v>
      </c>
      <c r="D1363" s="3">
        <v>4.17</v>
      </c>
      <c r="E1363" s="3">
        <v>179.31</v>
      </c>
      <c r="F1363">
        <v>44</v>
      </c>
      <c r="G1363">
        <v>3</v>
      </c>
      <c r="H1363" s="4">
        <v>4.0999999999999996</v>
      </c>
      <c r="I1363" t="s">
        <v>46</v>
      </c>
      <c r="J1363" t="s">
        <v>33</v>
      </c>
      <c r="K1363" t="s">
        <v>47</v>
      </c>
      <c r="L1363">
        <f t="shared" si="42"/>
        <v>2021</v>
      </c>
      <c r="M1363" t="str">
        <f t="shared" si="43"/>
        <v>COVID Period</v>
      </c>
    </row>
    <row r="1364" spans="1:13" x14ac:dyDescent="0.25">
      <c r="A1364" s="2">
        <v>44200</v>
      </c>
      <c r="B1364" t="s">
        <v>43</v>
      </c>
      <c r="C1364">
        <v>20</v>
      </c>
      <c r="D1364" s="3">
        <v>5.6</v>
      </c>
      <c r="E1364" s="3">
        <v>112</v>
      </c>
      <c r="F1364">
        <v>29</v>
      </c>
      <c r="G1364">
        <v>12</v>
      </c>
      <c r="H1364" s="4">
        <v>2.2999999999999998</v>
      </c>
      <c r="I1364" t="s">
        <v>46</v>
      </c>
      <c r="J1364" t="s">
        <v>33</v>
      </c>
      <c r="L1364">
        <f t="shared" si="42"/>
        <v>2021</v>
      </c>
      <c r="M1364" t="str">
        <f t="shared" si="43"/>
        <v>COVID Period</v>
      </c>
    </row>
    <row r="1365" spans="1:13" x14ac:dyDescent="0.25">
      <c r="A1365" s="2">
        <v>44200</v>
      </c>
      <c r="B1365" t="s">
        <v>44</v>
      </c>
      <c r="C1365">
        <v>0</v>
      </c>
      <c r="D1365" s="3">
        <v>4.75</v>
      </c>
      <c r="E1365" s="3">
        <v>0</v>
      </c>
      <c r="F1365">
        <v>3</v>
      </c>
      <c r="G1365">
        <v>3</v>
      </c>
      <c r="H1365" s="4">
        <v>3</v>
      </c>
      <c r="I1365" t="s">
        <v>46</v>
      </c>
      <c r="J1365" t="s">
        <v>33</v>
      </c>
      <c r="K1365" t="s">
        <v>47</v>
      </c>
      <c r="L1365">
        <f t="shared" si="42"/>
        <v>2021</v>
      </c>
      <c r="M1365" t="str">
        <f t="shared" si="43"/>
        <v>COVID Period</v>
      </c>
    </row>
    <row r="1366" spans="1:13" x14ac:dyDescent="0.25">
      <c r="A1366" s="2">
        <v>44200</v>
      </c>
      <c r="B1366" t="s">
        <v>45</v>
      </c>
      <c r="C1366">
        <v>0</v>
      </c>
      <c r="D1366" s="3">
        <v>15.2</v>
      </c>
      <c r="E1366" s="3">
        <v>0</v>
      </c>
      <c r="F1366">
        <v>3</v>
      </c>
      <c r="G1366">
        <v>3</v>
      </c>
      <c r="H1366" s="4">
        <v>3.2</v>
      </c>
      <c r="I1366" t="s">
        <v>46</v>
      </c>
      <c r="J1366" t="s">
        <v>33</v>
      </c>
      <c r="L1366">
        <f t="shared" si="42"/>
        <v>2021</v>
      </c>
      <c r="M1366" t="str">
        <f t="shared" si="43"/>
        <v>COVID Period</v>
      </c>
    </row>
    <row r="1367" spans="1:13" x14ac:dyDescent="0.25">
      <c r="A1367" s="2">
        <v>44207</v>
      </c>
      <c r="B1367" t="s">
        <v>32</v>
      </c>
      <c r="C1367">
        <v>34</v>
      </c>
      <c r="D1367" s="3">
        <v>7.01</v>
      </c>
      <c r="E1367" s="3">
        <v>238.34</v>
      </c>
      <c r="F1367">
        <v>37</v>
      </c>
      <c r="G1367">
        <v>7</v>
      </c>
      <c r="H1367" s="4">
        <v>2.2000000000000002</v>
      </c>
      <c r="I1367" t="s">
        <v>46</v>
      </c>
      <c r="J1367" t="s">
        <v>33</v>
      </c>
      <c r="L1367">
        <f t="shared" si="42"/>
        <v>2021</v>
      </c>
      <c r="M1367" t="str">
        <f t="shared" si="43"/>
        <v>COVID Period</v>
      </c>
    </row>
    <row r="1368" spans="1:13" x14ac:dyDescent="0.25">
      <c r="A1368" s="2">
        <v>44207</v>
      </c>
      <c r="B1368" t="s">
        <v>34</v>
      </c>
      <c r="C1368">
        <v>22</v>
      </c>
      <c r="D1368" s="3">
        <v>7.45</v>
      </c>
      <c r="E1368" s="3">
        <v>163.9</v>
      </c>
      <c r="F1368">
        <v>31</v>
      </c>
      <c r="G1368">
        <v>14</v>
      </c>
      <c r="H1368" s="4">
        <v>2.6</v>
      </c>
      <c r="I1368" t="s">
        <v>33</v>
      </c>
      <c r="J1368" t="s">
        <v>33</v>
      </c>
      <c r="L1368">
        <f t="shared" si="42"/>
        <v>2021</v>
      </c>
      <c r="M1368" t="str">
        <f t="shared" si="43"/>
        <v>COVID Period</v>
      </c>
    </row>
    <row r="1369" spans="1:13" x14ac:dyDescent="0.25">
      <c r="A1369" s="2">
        <v>44207</v>
      </c>
      <c r="B1369" t="s">
        <v>35</v>
      </c>
      <c r="C1369">
        <v>11</v>
      </c>
      <c r="D1369" s="3">
        <v>5.77</v>
      </c>
      <c r="E1369" s="3">
        <v>63.47</v>
      </c>
      <c r="F1369">
        <v>12</v>
      </c>
      <c r="G1369">
        <v>1</v>
      </c>
      <c r="H1369" s="4">
        <v>3.2</v>
      </c>
      <c r="I1369" t="s">
        <v>33</v>
      </c>
      <c r="J1369" t="s">
        <v>33</v>
      </c>
      <c r="L1369">
        <f t="shared" si="42"/>
        <v>2021</v>
      </c>
      <c r="M1369" t="str">
        <f t="shared" si="43"/>
        <v>COVID Period</v>
      </c>
    </row>
    <row r="1370" spans="1:13" x14ac:dyDescent="0.25">
      <c r="A1370" s="2">
        <v>44207</v>
      </c>
      <c r="B1370" t="s">
        <v>36</v>
      </c>
      <c r="C1370">
        <v>13</v>
      </c>
      <c r="D1370" s="3">
        <v>6.35</v>
      </c>
      <c r="E1370" s="3">
        <v>82.55</v>
      </c>
      <c r="F1370">
        <v>15</v>
      </c>
      <c r="G1370">
        <v>4</v>
      </c>
      <c r="H1370" s="4">
        <v>0.5</v>
      </c>
      <c r="I1370" t="s">
        <v>33</v>
      </c>
      <c r="J1370" t="s">
        <v>33</v>
      </c>
      <c r="L1370">
        <f t="shared" si="42"/>
        <v>2021</v>
      </c>
      <c r="M1370" t="str">
        <f t="shared" si="43"/>
        <v>COVID Period</v>
      </c>
    </row>
    <row r="1371" spans="1:13" x14ac:dyDescent="0.25">
      <c r="A1371" s="2">
        <v>44207</v>
      </c>
      <c r="B1371" t="s">
        <v>37</v>
      </c>
      <c r="C1371">
        <v>41</v>
      </c>
      <c r="D1371" s="3">
        <v>3.35</v>
      </c>
      <c r="E1371" s="3">
        <v>137.35</v>
      </c>
      <c r="F1371">
        <v>60</v>
      </c>
      <c r="G1371">
        <v>26</v>
      </c>
      <c r="H1371" s="4">
        <v>1.8</v>
      </c>
      <c r="I1371" t="s">
        <v>33</v>
      </c>
      <c r="J1371" t="s">
        <v>33</v>
      </c>
      <c r="L1371">
        <f t="shared" si="42"/>
        <v>2021</v>
      </c>
      <c r="M1371" t="str">
        <f t="shared" si="43"/>
        <v>COVID Period</v>
      </c>
    </row>
    <row r="1372" spans="1:13" x14ac:dyDescent="0.25">
      <c r="A1372" s="2">
        <v>44207</v>
      </c>
      <c r="B1372" t="s">
        <v>38</v>
      </c>
      <c r="C1372">
        <v>21</v>
      </c>
      <c r="D1372" s="3">
        <v>8.76</v>
      </c>
      <c r="E1372" s="3">
        <v>183.96</v>
      </c>
      <c r="F1372">
        <v>33</v>
      </c>
      <c r="G1372">
        <v>17</v>
      </c>
      <c r="H1372" s="4">
        <v>1.9</v>
      </c>
      <c r="I1372" t="s">
        <v>33</v>
      </c>
      <c r="J1372" t="s">
        <v>33</v>
      </c>
      <c r="L1372">
        <f t="shared" si="42"/>
        <v>2021</v>
      </c>
      <c r="M1372" t="str">
        <f t="shared" si="43"/>
        <v>COVID Period</v>
      </c>
    </row>
    <row r="1373" spans="1:13" x14ac:dyDescent="0.25">
      <c r="A1373" s="2">
        <v>44207</v>
      </c>
      <c r="B1373" t="s">
        <v>39</v>
      </c>
      <c r="C1373">
        <v>39</v>
      </c>
      <c r="D1373" s="3">
        <v>11.32</v>
      </c>
      <c r="E1373" s="3">
        <v>441.48</v>
      </c>
      <c r="F1373">
        <v>62</v>
      </c>
      <c r="G1373">
        <v>28</v>
      </c>
      <c r="H1373" s="4">
        <v>2.1</v>
      </c>
      <c r="I1373" t="s">
        <v>46</v>
      </c>
      <c r="J1373" t="s">
        <v>33</v>
      </c>
      <c r="K1373" t="s">
        <v>48</v>
      </c>
      <c r="L1373">
        <f t="shared" si="42"/>
        <v>2021</v>
      </c>
      <c r="M1373" t="str">
        <f t="shared" si="43"/>
        <v>COVID Period</v>
      </c>
    </row>
    <row r="1374" spans="1:13" x14ac:dyDescent="0.25">
      <c r="A1374" s="2">
        <v>44207</v>
      </c>
      <c r="B1374" t="s">
        <v>40</v>
      </c>
      <c r="C1374">
        <v>29</v>
      </c>
      <c r="D1374" s="3">
        <v>0.67</v>
      </c>
      <c r="E1374" s="3">
        <v>19.43</v>
      </c>
      <c r="F1374">
        <v>44</v>
      </c>
      <c r="G1374">
        <v>18</v>
      </c>
      <c r="H1374" s="4">
        <v>4.5999999999999996</v>
      </c>
      <c r="I1374" t="s">
        <v>46</v>
      </c>
      <c r="J1374" t="s">
        <v>33</v>
      </c>
      <c r="K1374" t="s">
        <v>47</v>
      </c>
      <c r="L1374">
        <f t="shared" si="42"/>
        <v>2021</v>
      </c>
      <c r="M1374" t="str">
        <f t="shared" si="43"/>
        <v>COVID Period</v>
      </c>
    </row>
    <row r="1375" spans="1:13" x14ac:dyDescent="0.25">
      <c r="A1375" s="2">
        <v>44207</v>
      </c>
      <c r="B1375" t="s">
        <v>41</v>
      </c>
      <c r="C1375">
        <v>16</v>
      </c>
      <c r="D1375" s="3">
        <v>1.39</v>
      </c>
      <c r="E1375" s="3">
        <v>22.24</v>
      </c>
      <c r="F1375">
        <v>24</v>
      </c>
      <c r="G1375">
        <v>11</v>
      </c>
      <c r="H1375" s="4">
        <v>3.5</v>
      </c>
      <c r="I1375" t="s">
        <v>46</v>
      </c>
      <c r="J1375" t="s">
        <v>33</v>
      </c>
      <c r="K1375" t="s">
        <v>47</v>
      </c>
      <c r="L1375">
        <f t="shared" si="42"/>
        <v>2021</v>
      </c>
      <c r="M1375" t="str">
        <f t="shared" si="43"/>
        <v>COVID Period</v>
      </c>
    </row>
    <row r="1376" spans="1:13" x14ac:dyDescent="0.25">
      <c r="A1376" s="2">
        <v>44207</v>
      </c>
      <c r="B1376" t="s">
        <v>42</v>
      </c>
      <c r="C1376">
        <v>40</v>
      </c>
      <c r="D1376" s="3">
        <v>4.1500000000000004</v>
      </c>
      <c r="E1376" s="3">
        <v>166</v>
      </c>
      <c r="F1376">
        <v>63</v>
      </c>
      <c r="G1376">
        <v>27</v>
      </c>
      <c r="H1376" s="4">
        <v>4.2</v>
      </c>
      <c r="I1376" t="s">
        <v>46</v>
      </c>
      <c r="J1376" t="s">
        <v>33</v>
      </c>
      <c r="K1376" t="s">
        <v>47</v>
      </c>
      <c r="L1376">
        <f t="shared" si="42"/>
        <v>2021</v>
      </c>
      <c r="M1376" t="str">
        <f t="shared" si="43"/>
        <v>COVID Period</v>
      </c>
    </row>
    <row r="1377" spans="1:13" x14ac:dyDescent="0.25">
      <c r="A1377" s="2">
        <v>44207</v>
      </c>
      <c r="B1377" t="s">
        <v>43</v>
      </c>
      <c r="C1377">
        <v>22</v>
      </c>
      <c r="D1377" s="3">
        <v>5.36</v>
      </c>
      <c r="E1377" s="3">
        <v>117.92</v>
      </c>
      <c r="F1377">
        <v>23</v>
      </c>
      <c r="G1377">
        <v>1</v>
      </c>
      <c r="H1377" s="4">
        <v>4</v>
      </c>
      <c r="I1377" t="s">
        <v>46</v>
      </c>
      <c r="J1377" t="s">
        <v>46</v>
      </c>
      <c r="L1377">
        <f t="shared" si="42"/>
        <v>2021</v>
      </c>
      <c r="M1377" t="str">
        <f t="shared" si="43"/>
        <v>COVID Period</v>
      </c>
    </row>
    <row r="1378" spans="1:13" x14ac:dyDescent="0.25">
      <c r="A1378" s="2">
        <v>44207</v>
      </c>
      <c r="B1378" t="s">
        <v>44</v>
      </c>
      <c r="C1378">
        <v>1</v>
      </c>
      <c r="D1378" s="3">
        <v>4.74</v>
      </c>
      <c r="E1378" s="3">
        <v>4.74</v>
      </c>
      <c r="F1378">
        <v>3</v>
      </c>
      <c r="G1378">
        <v>2</v>
      </c>
      <c r="H1378" s="4">
        <v>1.7</v>
      </c>
      <c r="I1378" t="s">
        <v>46</v>
      </c>
      <c r="J1378" t="s">
        <v>46</v>
      </c>
      <c r="K1378" t="s">
        <v>47</v>
      </c>
      <c r="L1378">
        <f t="shared" si="42"/>
        <v>2021</v>
      </c>
      <c r="M1378" t="str">
        <f t="shared" si="43"/>
        <v>COVID Period</v>
      </c>
    </row>
    <row r="1379" spans="1:13" x14ac:dyDescent="0.25">
      <c r="A1379" s="2">
        <v>44207</v>
      </c>
      <c r="B1379" t="s">
        <v>45</v>
      </c>
      <c r="C1379">
        <v>0</v>
      </c>
      <c r="D1379" s="3">
        <v>14.81</v>
      </c>
      <c r="E1379" s="3">
        <v>0</v>
      </c>
      <c r="F1379">
        <v>3</v>
      </c>
      <c r="G1379">
        <v>3</v>
      </c>
      <c r="H1379" s="4">
        <v>2.8</v>
      </c>
      <c r="I1379" t="s">
        <v>46</v>
      </c>
      <c r="J1379" t="s">
        <v>33</v>
      </c>
      <c r="L1379">
        <f t="shared" si="42"/>
        <v>2021</v>
      </c>
      <c r="M1379" t="str">
        <f t="shared" si="43"/>
        <v>COVID Period</v>
      </c>
    </row>
    <row r="1380" spans="1:13" x14ac:dyDescent="0.25">
      <c r="A1380" s="2">
        <v>44214</v>
      </c>
      <c r="B1380" t="s">
        <v>32</v>
      </c>
      <c r="C1380">
        <v>31</v>
      </c>
      <c r="D1380" s="3">
        <v>6.81</v>
      </c>
      <c r="E1380" s="3">
        <v>211.11</v>
      </c>
      <c r="F1380">
        <v>37</v>
      </c>
      <c r="G1380">
        <v>6</v>
      </c>
      <c r="H1380" s="4">
        <v>0</v>
      </c>
      <c r="I1380" t="s">
        <v>33</v>
      </c>
      <c r="J1380" t="s">
        <v>33</v>
      </c>
      <c r="L1380">
        <f t="shared" si="42"/>
        <v>2021</v>
      </c>
      <c r="M1380" t="str">
        <f t="shared" si="43"/>
        <v>COVID Period</v>
      </c>
    </row>
    <row r="1381" spans="1:13" x14ac:dyDescent="0.25">
      <c r="A1381" s="2">
        <v>44214</v>
      </c>
      <c r="B1381" t="s">
        <v>34</v>
      </c>
      <c r="C1381">
        <v>22</v>
      </c>
      <c r="D1381" s="3">
        <v>7.19</v>
      </c>
      <c r="E1381" s="3">
        <v>158.18</v>
      </c>
      <c r="F1381">
        <v>35</v>
      </c>
      <c r="G1381">
        <v>15</v>
      </c>
      <c r="H1381" s="4">
        <v>1</v>
      </c>
      <c r="I1381" t="s">
        <v>33</v>
      </c>
      <c r="J1381" t="s">
        <v>33</v>
      </c>
      <c r="L1381">
        <f t="shared" si="42"/>
        <v>2021</v>
      </c>
      <c r="M1381" t="str">
        <f t="shared" si="43"/>
        <v>COVID Period</v>
      </c>
    </row>
    <row r="1382" spans="1:13" x14ac:dyDescent="0.25">
      <c r="A1382" s="2">
        <v>44214</v>
      </c>
      <c r="B1382" t="s">
        <v>35</v>
      </c>
      <c r="C1382">
        <v>13</v>
      </c>
      <c r="D1382" s="3">
        <v>5.79</v>
      </c>
      <c r="E1382" s="3">
        <v>75.27</v>
      </c>
      <c r="F1382">
        <v>19</v>
      </c>
      <c r="G1382">
        <v>9</v>
      </c>
      <c r="H1382" s="4">
        <v>2.7</v>
      </c>
      <c r="I1382" t="s">
        <v>33</v>
      </c>
      <c r="J1382" t="s">
        <v>33</v>
      </c>
      <c r="L1382">
        <f t="shared" si="42"/>
        <v>2021</v>
      </c>
      <c r="M1382" t="str">
        <f t="shared" si="43"/>
        <v>COVID Period</v>
      </c>
    </row>
    <row r="1383" spans="1:13" x14ac:dyDescent="0.25">
      <c r="A1383" s="2">
        <v>44214</v>
      </c>
      <c r="B1383" t="s">
        <v>36</v>
      </c>
      <c r="C1383">
        <v>17</v>
      </c>
      <c r="D1383" s="3">
        <v>6.46</v>
      </c>
      <c r="E1383" s="3">
        <v>109.82</v>
      </c>
      <c r="F1383">
        <v>17</v>
      </c>
      <c r="G1383">
        <v>0</v>
      </c>
      <c r="H1383" s="4">
        <v>1.3</v>
      </c>
      <c r="I1383" t="s">
        <v>33</v>
      </c>
      <c r="J1383" t="s">
        <v>33</v>
      </c>
      <c r="L1383">
        <f t="shared" si="42"/>
        <v>2021</v>
      </c>
      <c r="M1383" t="str">
        <f t="shared" si="43"/>
        <v>COVID Period</v>
      </c>
    </row>
    <row r="1384" spans="1:13" x14ac:dyDescent="0.25">
      <c r="A1384" s="2">
        <v>44214</v>
      </c>
      <c r="B1384" t="s">
        <v>37</v>
      </c>
      <c r="C1384">
        <v>38</v>
      </c>
      <c r="D1384" s="3">
        <v>3.33</v>
      </c>
      <c r="E1384" s="3">
        <v>126.54</v>
      </c>
      <c r="F1384">
        <v>58</v>
      </c>
      <c r="G1384">
        <v>27</v>
      </c>
      <c r="H1384" s="4">
        <v>1.6</v>
      </c>
      <c r="I1384" t="s">
        <v>33</v>
      </c>
      <c r="J1384" t="s">
        <v>33</v>
      </c>
      <c r="L1384">
        <f t="shared" si="42"/>
        <v>2021</v>
      </c>
      <c r="M1384" t="str">
        <f t="shared" si="43"/>
        <v>COVID Period</v>
      </c>
    </row>
    <row r="1385" spans="1:13" x14ac:dyDescent="0.25">
      <c r="A1385" s="2">
        <v>44214</v>
      </c>
      <c r="B1385" t="s">
        <v>38</v>
      </c>
      <c r="C1385">
        <v>14</v>
      </c>
      <c r="D1385" s="3">
        <v>8.6</v>
      </c>
      <c r="E1385" s="3">
        <v>120.4</v>
      </c>
      <c r="F1385">
        <v>22</v>
      </c>
      <c r="G1385">
        <v>10</v>
      </c>
      <c r="H1385" s="4">
        <v>2</v>
      </c>
      <c r="I1385" t="s">
        <v>33</v>
      </c>
      <c r="J1385" t="s">
        <v>33</v>
      </c>
      <c r="L1385">
        <f t="shared" si="42"/>
        <v>2021</v>
      </c>
      <c r="M1385" t="str">
        <f t="shared" si="43"/>
        <v>COVID Period</v>
      </c>
    </row>
    <row r="1386" spans="1:13" x14ac:dyDescent="0.25">
      <c r="A1386" s="2">
        <v>44214</v>
      </c>
      <c r="B1386" t="s">
        <v>39</v>
      </c>
      <c r="C1386">
        <v>25</v>
      </c>
      <c r="D1386" s="3">
        <v>11.92</v>
      </c>
      <c r="E1386" s="3">
        <v>298</v>
      </c>
      <c r="F1386">
        <v>26</v>
      </c>
      <c r="G1386">
        <v>3</v>
      </c>
      <c r="H1386" s="4">
        <v>0.9</v>
      </c>
      <c r="I1386" t="s">
        <v>46</v>
      </c>
      <c r="J1386" t="s">
        <v>33</v>
      </c>
      <c r="K1386" t="s">
        <v>48</v>
      </c>
      <c r="L1386">
        <f t="shared" si="42"/>
        <v>2021</v>
      </c>
      <c r="M1386" t="str">
        <f t="shared" si="43"/>
        <v>COVID Period</v>
      </c>
    </row>
    <row r="1387" spans="1:13" x14ac:dyDescent="0.25">
      <c r="A1387" s="2">
        <v>44214</v>
      </c>
      <c r="B1387" t="s">
        <v>40</v>
      </c>
      <c r="C1387">
        <v>50</v>
      </c>
      <c r="D1387" s="3">
        <v>0.64</v>
      </c>
      <c r="E1387" s="3">
        <v>32</v>
      </c>
      <c r="F1387">
        <v>58</v>
      </c>
      <c r="G1387">
        <v>18</v>
      </c>
      <c r="H1387" s="4">
        <v>1.8</v>
      </c>
      <c r="I1387" t="s">
        <v>46</v>
      </c>
      <c r="J1387" t="s">
        <v>33</v>
      </c>
      <c r="K1387" t="s">
        <v>47</v>
      </c>
      <c r="L1387">
        <f t="shared" si="42"/>
        <v>2021</v>
      </c>
      <c r="M1387" t="str">
        <f t="shared" si="43"/>
        <v>COVID Period</v>
      </c>
    </row>
    <row r="1388" spans="1:13" x14ac:dyDescent="0.25">
      <c r="A1388" s="2">
        <v>44214</v>
      </c>
      <c r="B1388" t="s">
        <v>41</v>
      </c>
      <c r="C1388">
        <v>29</v>
      </c>
      <c r="D1388" s="3">
        <v>1.35</v>
      </c>
      <c r="E1388" s="3">
        <v>39.15</v>
      </c>
      <c r="F1388">
        <v>31</v>
      </c>
      <c r="G1388">
        <v>5</v>
      </c>
      <c r="H1388" s="4">
        <v>3.1</v>
      </c>
      <c r="I1388" t="s">
        <v>46</v>
      </c>
      <c r="J1388" t="s">
        <v>33</v>
      </c>
      <c r="K1388" t="s">
        <v>47</v>
      </c>
      <c r="L1388">
        <f t="shared" si="42"/>
        <v>2021</v>
      </c>
      <c r="M1388" t="str">
        <f t="shared" si="43"/>
        <v>COVID Period</v>
      </c>
    </row>
    <row r="1389" spans="1:13" x14ac:dyDescent="0.25">
      <c r="A1389" s="2">
        <v>44214</v>
      </c>
      <c r="B1389" t="s">
        <v>42</v>
      </c>
      <c r="C1389">
        <v>30</v>
      </c>
      <c r="D1389" s="3">
        <v>4.4000000000000004</v>
      </c>
      <c r="E1389" s="3">
        <v>132</v>
      </c>
      <c r="F1389">
        <v>39</v>
      </c>
      <c r="G1389">
        <v>11</v>
      </c>
      <c r="H1389" s="4">
        <v>3.9</v>
      </c>
      <c r="I1389" t="s">
        <v>46</v>
      </c>
      <c r="J1389" t="s">
        <v>33</v>
      </c>
      <c r="K1389" t="s">
        <v>47</v>
      </c>
      <c r="L1389">
        <f t="shared" si="42"/>
        <v>2021</v>
      </c>
      <c r="M1389" t="str">
        <f t="shared" si="43"/>
        <v>COVID Period</v>
      </c>
    </row>
    <row r="1390" spans="1:13" x14ac:dyDescent="0.25">
      <c r="A1390" s="2">
        <v>44214</v>
      </c>
      <c r="B1390" t="s">
        <v>43</v>
      </c>
      <c r="C1390">
        <v>17</v>
      </c>
      <c r="D1390" s="3">
        <v>5.53</v>
      </c>
      <c r="E1390" s="3">
        <v>94.01</v>
      </c>
      <c r="F1390">
        <v>24</v>
      </c>
      <c r="G1390">
        <v>10</v>
      </c>
      <c r="H1390" s="4">
        <v>5</v>
      </c>
      <c r="I1390" t="s">
        <v>46</v>
      </c>
      <c r="J1390" t="s">
        <v>33</v>
      </c>
      <c r="L1390">
        <f t="shared" si="42"/>
        <v>2021</v>
      </c>
      <c r="M1390" t="str">
        <f t="shared" si="43"/>
        <v>COVID Period</v>
      </c>
    </row>
    <row r="1391" spans="1:13" x14ac:dyDescent="0.25">
      <c r="A1391" s="2">
        <v>44214</v>
      </c>
      <c r="B1391" t="s">
        <v>44</v>
      </c>
      <c r="C1391">
        <v>2</v>
      </c>
      <c r="D1391" s="3">
        <v>4.7699999999999996</v>
      </c>
      <c r="E1391" s="3">
        <v>9.5399999999999991</v>
      </c>
      <c r="F1391">
        <v>3</v>
      </c>
      <c r="G1391">
        <v>1</v>
      </c>
      <c r="H1391" s="4">
        <v>1.8</v>
      </c>
      <c r="I1391" t="s">
        <v>46</v>
      </c>
      <c r="J1391" t="s">
        <v>33</v>
      </c>
      <c r="K1391" t="s">
        <v>47</v>
      </c>
      <c r="L1391">
        <f t="shared" si="42"/>
        <v>2021</v>
      </c>
      <c r="M1391" t="str">
        <f t="shared" si="43"/>
        <v>COVID Period</v>
      </c>
    </row>
    <row r="1392" spans="1:13" x14ac:dyDescent="0.25">
      <c r="A1392" s="2">
        <v>44214</v>
      </c>
      <c r="B1392" t="s">
        <v>45</v>
      </c>
      <c r="C1392">
        <v>0</v>
      </c>
      <c r="D1392" s="3">
        <v>15.18</v>
      </c>
      <c r="E1392" s="3">
        <v>0</v>
      </c>
      <c r="F1392">
        <v>3</v>
      </c>
      <c r="G1392">
        <v>3</v>
      </c>
      <c r="H1392" s="4">
        <v>3.1</v>
      </c>
      <c r="I1392" t="s">
        <v>46</v>
      </c>
      <c r="J1392" t="s">
        <v>33</v>
      </c>
      <c r="L1392">
        <f t="shared" si="42"/>
        <v>2021</v>
      </c>
      <c r="M1392" t="str">
        <f t="shared" si="43"/>
        <v>COVID Period</v>
      </c>
    </row>
    <row r="1393" spans="1:13" x14ac:dyDescent="0.25">
      <c r="A1393" s="2">
        <v>44221</v>
      </c>
      <c r="B1393" t="s">
        <v>32</v>
      </c>
      <c r="C1393">
        <v>17</v>
      </c>
      <c r="D1393" s="3">
        <v>7.13</v>
      </c>
      <c r="E1393" s="3">
        <v>121.21</v>
      </c>
      <c r="F1393">
        <v>21</v>
      </c>
      <c r="G1393">
        <v>4</v>
      </c>
      <c r="H1393" s="4">
        <v>1.1000000000000001</v>
      </c>
      <c r="I1393" t="s">
        <v>33</v>
      </c>
      <c r="J1393" t="s">
        <v>33</v>
      </c>
      <c r="L1393">
        <f t="shared" si="42"/>
        <v>2021</v>
      </c>
      <c r="M1393" t="str">
        <f t="shared" si="43"/>
        <v>COVID Period</v>
      </c>
    </row>
    <row r="1394" spans="1:13" x14ac:dyDescent="0.25">
      <c r="A1394" s="2">
        <v>44221</v>
      </c>
      <c r="B1394" t="s">
        <v>34</v>
      </c>
      <c r="C1394">
        <v>18</v>
      </c>
      <c r="D1394" s="3">
        <v>7.38</v>
      </c>
      <c r="E1394" s="3">
        <v>132.84</v>
      </c>
      <c r="F1394">
        <v>29</v>
      </c>
      <c r="G1394">
        <v>13</v>
      </c>
      <c r="H1394" s="4">
        <v>0.9</v>
      </c>
      <c r="I1394" t="s">
        <v>33</v>
      </c>
      <c r="J1394" t="s">
        <v>33</v>
      </c>
      <c r="L1394">
        <f t="shared" si="42"/>
        <v>2021</v>
      </c>
      <c r="M1394" t="str">
        <f t="shared" si="43"/>
        <v>COVID Period</v>
      </c>
    </row>
    <row r="1395" spans="1:13" x14ac:dyDescent="0.25">
      <c r="A1395" s="2">
        <v>44221</v>
      </c>
      <c r="B1395" t="s">
        <v>35</v>
      </c>
      <c r="C1395">
        <v>13</v>
      </c>
      <c r="D1395" s="3">
        <v>6.12</v>
      </c>
      <c r="E1395" s="3">
        <v>79.56</v>
      </c>
      <c r="F1395">
        <v>14</v>
      </c>
      <c r="G1395">
        <v>2</v>
      </c>
      <c r="H1395" s="4">
        <v>2.5</v>
      </c>
      <c r="I1395" t="s">
        <v>33</v>
      </c>
      <c r="J1395" t="s">
        <v>33</v>
      </c>
      <c r="L1395">
        <f t="shared" si="42"/>
        <v>2021</v>
      </c>
      <c r="M1395" t="str">
        <f t="shared" si="43"/>
        <v>COVID Period</v>
      </c>
    </row>
    <row r="1396" spans="1:13" x14ac:dyDescent="0.25">
      <c r="A1396" s="2">
        <v>44221</v>
      </c>
      <c r="B1396" t="s">
        <v>36</v>
      </c>
      <c r="C1396">
        <v>13</v>
      </c>
      <c r="D1396" s="3">
        <v>6.28</v>
      </c>
      <c r="E1396" s="3">
        <v>81.64</v>
      </c>
      <c r="F1396">
        <v>16</v>
      </c>
      <c r="G1396">
        <v>5</v>
      </c>
      <c r="H1396" s="4">
        <v>3.9</v>
      </c>
      <c r="I1396" t="s">
        <v>33</v>
      </c>
      <c r="J1396" t="s">
        <v>33</v>
      </c>
      <c r="L1396">
        <f t="shared" si="42"/>
        <v>2021</v>
      </c>
      <c r="M1396" t="str">
        <f t="shared" si="43"/>
        <v>COVID Period</v>
      </c>
    </row>
    <row r="1397" spans="1:13" x14ac:dyDescent="0.25">
      <c r="A1397" s="2">
        <v>44221</v>
      </c>
      <c r="B1397" t="s">
        <v>37</v>
      </c>
      <c r="C1397">
        <v>31</v>
      </c>
      <c r="D1397" s="3">
        <v>3.24</v>
      </c>
      <c r="E1397" s="3">
        <v>100.44</v>
      </c>
      <c r="F1397">
        <v>38</v>
      </c>
      <c r="G1397">
        <v>14</v>
      </c>
      <c r="H1397" s="4">
        <v>0.8</v>
      </c>
      <c r="I1397" t="s">
        <v>33</v>
      </c>
      <c r="J1397" t="s">
        <v>33</v>
      </c>
      <c r="L1397">
        <f t="shared" si="42"/>
        <v>2021</v>
      </c>
      <c r="M1397" t="str">
        <f t="shared" si="43"/>
        <v>COVID Period</v>
      </c>
    </row>
    <row r="1398" spans="1:13" x14ac:dyDescent="0.25">
      <c r="A1398" s="2">
        <v>44221</v>
      </c>
      <c r="B1398" t="s">
        <v>38</v>
      </c>
      <c r="C1398">
        <v>25</v>
      </c>
      <c r="D1398" s="3">
        <v>8.25</v>
      </c>
      <c r="E1398" s="3">
        <v>206.25</v>
      </c>
      <c r="F1398">
        <v>39</v>
      </c>
      <c r="G1398">
        <v>16</v>
      </c>
      <c r="H1398" s="4">
        <v>1.4</v>
      </c>
      <c r="I1398" t="s">
        <v>46</v>
      </c>
      <c r="J1398" t="s">
        <v>33</v>
      </c>
      <c r="L1398">
        <f t="shared" si="42"/>
        <v>2021</v>
      </c>
      <c r="M1398" t="str">
        <f t="shared" si="43"/>
        <v>COVID Period</v>
      </c>
    </row>
    <row r="1399" spans="1:13" x14ac:dyDescent="0.25">
      <c r="A1399" s="2">
        <v>44221</v>
      </c>
      <c r="B1399" t="s">
        <v>39</v>
      </c>
      <c r="C1399">
        <v>28</v>
      </c>
      <c r="D1399" s="3">
        <v>11.96</v>
      </c>
      <c r="E1399" s="3">
        <v>334.88</v>
      </c>
      <c r="F1399">
        <v>38</v>
      </c>
      <c r="G1399">
        <v>16</v>
      </c>
      <c r="H1399" s="4">
        <v>2.5</v>
      </c>
      <c r="I1399" t="s">
        <v>46</v>
      </c>
      <c r="J1399" t="s">
        <v>33</v>
      </c>
      <c r="K1399" t="s">
        <v>48</v>
      </c>
      <c r="L1399">
        <f t="shared" si="42"/>
        <v>2021</v>
      </c>
      <c r="M1399" t="str">
        <f t="shared" si="43"/>
        <v>COVID Period</v>
      </c>
    </row>
    <row r="1400" spans="1:13" x14ac:dyDescent="0.25">
      <c r="A1400" s="2">
        <v>44221</v>
      </c>
      <c r="B1400" t="s">
        <v>40</v>
      </c>
      <c r="C1400">
        <v>33</v>
      </c>
      <c r="D1400" s="3">
        <v>0.65</v>
      </c>
      <c r="E1400" s="3">
        <v>21.45</v>
      </c>
      <c r="F1400">
        <v>54</v>
      </c>
      <c r="G1400">
        <v>28</v>
      </c>
      <c r="H1400" s="4">
        <v>4.4000000000000004</v>
      </c>
      <c r="I1400" t="s">
        <v>46</v>
      </c>
      <c r="J1400" t="s">
        <v>33</v>
      </c>
      <c r="K1400" t="s">
        <v>47</v>
      </c>
      <c r="L1400">
        <f t="shared" si="42"/>
        <v>2021</v>
      </c>
      <c r="M1400" t="str">
        <f t="shared" si="43"/>
        <v>COVID Period</v>
      </c>
    </row>
    <row r="1401" spans="1:13" x14ac:dyDescent="0.25">
      <c r="A1401" s="2">
        <v>44221</v>
      </c>
      <c r="B1401" t="s">
        <v>41</v>
      </c>
      <c r="C1401">
        <v>33</v>
      </c>
      <c r="D1401" s="3">
        <v>1.3</v>
      </c>
      <c r="E1401" s="3">
        <v>42.9</v>
      </c>
      <c r="F1401">
        <v>42</v>
      </c>
      <c r="G1401">
        <v>14</v>
      </c>
      <c r="H1401" s="4">
        <v>4.7</v>
      </c>
      <c r="I1401" t="s">
        <v>46</v>
      </c>
      <c r="J1401" t="s">
        <v>33</v>
      </c>
      <c r="K1401" t="s">
        <v>47</v>
      </c>
      <c r="L1401">
        <f t="shared" si="42"/>
        <v>2021</v>
      </c>
      <c r="M1401" t="str">
        <f t="shared" si="43"/>
        <v>COVID Period</v>
      </c>
    </row>
    <row r="1402" spans="1:13" x14ac:dyDescent="0.25">
      <c r="A1402" s="2">
        <v>44221</v>
      </c>
      <c r="B1402" t="s">
        <v>42</v>
      </c>
      <c r="C1402">
        <v>37</v>
      </c>
      <c r="D1402" s="3">
        <v>4.16</v>
      </c>
      <c r="E1402" s="3">
        <v>153.91999999999999</v>
      </c>
      <c r="F1402">
        <v>53</v>
      </c>
      <c r="G1402">
        <v>20</v>
      </c>
      <c r="H1402" s="4">
        <v>4.0999999999999996</v>
      </c>
      <c r="I1402" t="s">
        <v>46</v>
      </c>
      <c r="J1402" t="s">
        <v>33</v>
      </c>
      <c r="K1402" t="s">
        <v>47</v>
      </c>
      <c r="L1402">
        <f t="shared" si="42"/>
        <v>2021</v>
      </c>
      <c r="M1402" t="str">
        <f t="shared" si="43"/>
        <v>COVID Period</v>
      </c>
    </row>
    <row r="1403" spans="1:13" x14ac:dyDescent="0.25">
      <c r="A1403" s="2">
        <v>44221</v>
      </c>
      <c r="B1403" t="s">
        <v>43</v>
      </c>
      <c r="C1403">
        <v>20</v>
      </c>
      <c r="D1403" s="3">
        <v>5.39</v>
      </c>
      <c r="E1403" s="3">
        <v>107.8</v>
      </c>
      <c r="F1403">
        <v>30</v>
      </c>
      <c r="G1403">
        <v>15</v>
      </c>
      <c r="H1403" s="4">
        <v>2.2000000000000002</v>
      </c>
      <c r="I1403" t="s">
        <v>46</v>
      </c>
      <c r="J1403" t="s">
        <v>33</v>
      </c>
      <c r="L1403">
        <f t="shared" si="42"/>
        <v>2021</v>
      </c>
      <c r="M1403" t="str">
        <f t="shared" si="43"/>
        <v>COVID Period</v>
      </c>
    </row>
    <row r="1404" spans="1:13" x14ac:dyDescent="0.25">
      <c r="A1404" s="2">
        <v>44221</v>
      </c>
      <c r="B1404" t="s">
        <v>44</v>
      </c>
      <c r="C1404">
        <v>2</v>
      </c>
      <c r="D1404" s="3">
        <v>4.96</v>
      </c>
      <c r="E1404" s="3">
        <v>9.92</v>
      </c>
      <c r="F1404">
        <v>3</v>
      </c>
      <c r="G1404">
        <v>1</v>
      </c>
      <c r="H1404" s="4">
        <v>1.7</v>
      </c>
      <c r="I1404" t="s">
        <v>46</v>
      </c>
      <c r="J1404" t="s">
        <v>46</v>
      </c>
      <c r="K1404" t="s">
        <v>47</v>
      </c>
      <c r="L1404">
        <f t="shared" si="42"/>
        <v>2021</v>
      </c>
      <c r="M1404" t="str">
        <f t="shared" si="43"/>
        <v>COVID Period</v>
      </c>
    </row>
    <row r="1405" spans="1:13" x14ac:dyDescent="0.25">
      <c r="A1405" s="2">
        <v>44221</v>
      </c>
      <c r="B1405" t="s">
        <v>45</v>
      </c>
      <c r="C1405">
        <v>0</v>
      </c>
      <c r="D1405" s="3">
        <v>15.02</v>
      </c>
      <c r="E1405" s="3">
        <v>0</v>
      </c>
      <c r="F1405">
        <v>3</v>
      </c>
      <c r="G1405">
        <v>3</v>
      </c>
      <c r="H1405" s="4">
        <v>3</v>
      </c>
      <c r="I1405" t="s">
        <v>46</v>
      </c>
      <c r="J1405" t="s">
        <v>33</v>
      </c>
      <c r="L1405">
        <f t="shared" si="42"/>
        <v>2021</v>
      </c>
      <c r="M1405" t="str">
        <f t="shared" si="43"/>
        <v>COVID Period</v>
      </c>
    </row>
    <row r="1406" spans="1:13" x14ac:dyDescent="0.25">
      <c r="A1406" s="2">
        <v>44228</v>
      </c>
      <c r="B1406" t="s">
        <v>32</v>
      </c>
      <c r="C1406">
        <v>25</v>
      </c>
      <c r="D1406" s="3">
        <v>6.66</v>
      </c>
      <c r="E1406" s="3">
        <v>166.5</v>
      </c>
      <c r="F1406">
        <v>28</v>
      </c>
      <c r="G1406">
        <v>8</v>
      </c>
      <c r="H1406" s="4">
        <v>2.2999999999999998</v>
      </c>
      <c r="I1406" t="s">
        <v>33</v>
      </c>
      <c r="J1406" t="s">
        <v>33</v>
      </c>
      <c r="L1406">
        <f t="shared" si="42"/>
        <v>2021</v>
      </c>
      <c r="M1406" t="str">
        <f t="shared" si="43"/>
        <v>COVID Period</v>
      </c>
    </row>
    <row r="1407" spans="1:13" x14ac:dyDescent="0.25">
      <c r="A1407" s="2">
        <v>44228</v>
      </c>
      <c r="B1407" t="s">
        <v>34</v>
      </c>
      <c r="C1407">
        <v>23</v>
      </c>
      <c r="D1407" s="3">
        <v>6.94</v>
      </c>
      <c r="E1407" s="3">
        <v>159.62</v>
      </c>
      <c r="F1407">
        <v>30</v>
      </c>
      <c r="G1407">
        <v>12</v>
      </c>
      <c r="H1407" s="4">
        <v>2.2999999999999998</v>
      </c>
      <c r="I1407" t="s">
        <v>33</v>
      </c>
      <c r="J1407" t="s">
        <v>33</v>
      </c>
      <c r="L1407">
        <f t="shared" si="42"/>
        <v>2021</v>
      </c>
      <c r="M1407" t="str">
        <f t="shared" si="43"/>
        <v>COVID Period</v>
      </c>
    </row>
    <row r="1408" spans="1:13" x14ac:dyDescent="0.25">
      <c r="A1408" s="2">
        <v>44228</v>
      </c>
      <c r="B1408" t="s">
        <v>35</v>
      </c>
      <c r="C1408">
        <v>15</v>
      </c>
      <c r="D1408" s="3">
        <v>5.92</v>
      </c>
      <c r="E1408" s="3">
        <v>88.8</v>
      </c>
      <c r="F1408">
        <v>16</v>
      </c>
      <c r="G1408">
        <v>2</v>
      </c>
      <c r="H1408" s="4">
        <v>1.5</v>
      </c>
      <c r="I1408" t="s">
        <v>33</v>
      </c>
      <c r="J1408" t="s">
        <v>33</v>
      </c>
      <c r="L1408">
        <f t="shared" si="42"/>
        <v>2021</v>
      </c>
      <c r="M1408" t="str">
        <f t="shared" si="43"/>
        <v>COVID Period</v>
      </c>
    </row>
    <row r="1409" spans="1:13" x14ac:dyDescent="0.25">
      <c r="A1409" s="2">
        <v>44228</v>
      </c>
      <c r="B1409" t="s">
        <v>36</v>
      </c>
      <c r="C1409">
        <v>13</v>
      </c>
      <c r="D1409" s="3">
        <v>6.12</v>
      </c>
      <c r="E1409" s="3">
        <v>79.56</v>
      </c>
      <c r="F1409">
        <v>20</v>
      </c>
      <c r="G1409">
        <v>9</v>
      </c>
      <c r="H1409" s="4">
        <v>3.7</v>
      </c>
      <c r="I1409" t="s">
        <v>33</v>
      </c>
      <c r="J1409" t="s">
        <v>33</v>
      </c>
      <c r="L1409">
        <f t="shared" si="42"/>
        <v>2021</v>
      </c>
      <c r="M1409" t="str">
        <f t="shared" si="43"/>
        <v>COVID Period</v>
      </c>
    </row>
    <row r="1410" spans="1:13" x14ac:dyDescent="0.25">
      <c r="A1410" s="2">
        <v>44228</v>
      </c>
      <c r="B1410" t="s">
        <v>37</v>
      </c>
      <c r="C1410">
        <v>30</v>
      </c>
      <c r="D1410" s="3">
        <v>3.27</v>
      </c>
      <c r="E1410" s="3">
        <v>98.1</v>
      </c>
      <c r="F1410">
        <v>43</v>
      </c>
      <c r="G1410">
        <v>19</v>
      </c>
      <c r="H1410" s="4">
        <v>2.4</v>
      </c>
      <c r="I1410" t="s">
        <v>33</v>
      </c>
      <c r="J1410" t="s">
        <v>33</v>
      </c>
      <c r="L1410">
        <f t="shared" ref="L1410:L1473" si="44">YEAR(A1410)</f>
        <v>2021</v>
      </c>
      <c r="M1410" t="str">
        <f t="shared" ref="M1410:M1473" si="45">IF(L1410=2019,"Pre-COVID","COVID Period")</f>
        <v>COVID Period</v>
      </c>
    </row>
    <row r="1411" spans="1:13" x14ac:dyDescent="0.25">
      <c r="A1411" s="2">
        <v>44228</v>
      </c>
      <c r="B1411" t="s">
        <v>38</v>
      </c>
      <c r="C1411">
        <v>17</v>
      </c>
      <c r="D1411" s="3">
        <v>8.57</v>
      </c>
      <c r="E1411" s="3">
        <v>145.69</v>
      </c>
      <c r="F1411">
        <v>26</v>
      </c>
      <c r="G1411">
        <v>11</v>
      </c>
      <c r="H1411" s="4">
        <v>1.8</v>
      </c>
      <c r="I1411" t="s">
        <v>33</v>
      </c>
      <c r="J1411" t="s">
        <v>33</v>
      </c>
      <c r="L1411">
        <f t="shared" si="44"/>
        <v>2021</v>
      </c>
      <c r="M1411" t="str">
        <f t="shared" si="45"/>
        <v>COVID Period</v>
      </c>
    </row>
    <row r="1412" spans="1:13" x14ac:dyDescent="0.25">
      <c r="A1412" s="2">
        <v>44228</v>
      </c>
      <c r="B1412" t="s">
        <v>39</v>
      </c>
      <c r="C1412">
        <v>39</v>
      </c>
      <c r="D1412" s="3">
        <v>11.93</v>
      </c>
      <c r="E1412" s="3">
        <v>465.27</v>
      </c>
      <c r="F1412">
        <v>57</v>
      </c>
      <c r="G1412">
        <v>28</v>
      </c>
      <c r="H1412" s="4">
        <v>2.2000000000000002</v>
      </c>
      <c r="I1412" t="s">
        <v>46</v>
      </c>
      <c r="J1412" t="s">
        <v>33</v>
      </c>
      <c r="K1412" t="s">
        <v>48</v>
      </c>
      <c r="L1412">
        <f t="shared" si="44"/>
        <v>2021</v>
      </c>
      <c r="M1412" t="str">
        <f t="shared" si="45"/>
        <v>COVID Period</v>
      </c>
    </row>
    <row r="1413" spans="1:13" x14ac:dyDescent="0.25">
      <c r="A1413" s="2">
        <v>44228</v>
      </c>
      <c r="B1413" t="s">
        <v>40</v>
      </c>
      <c r="C1413">
        <v>47</v>
      </c>
      <c r="D1413" s="3">
        <v>0.63</v>
      </c>
      <c r="E1413" s="3">
        <v>29.61</v>
      </c>
      <c r="F1413">
        <v>61</v>
      </c>
      <c r="G1413">
        <v>23</v>
      </c>
      <c r="H1413" s="4">
        <v>3.2</v>
      </c>
      <c r="I1413" t="s">
        <v>46</v>
      </c>
      <c r="J1413" t="s">
        <v>33</v>
      </c>
      <c r="K1413" t="s">
        <v>47</v>
      </c>
      <c r="L1413">
        <f t="shared" si="44"/>
        <v>2021</v>
      </c>
      <c r="M1413" t="str">
        <f t="shared" si="45"/>
        <v>COVID Period</v>
      </c>
    </row>
    <row r="1414" spans="1:13" x14ac:dyDescent="0.25">
      <c r="A1414" s="2">
        <v>44228</v>
      </c>
      <c r="B1414" t="s">
        <v>41</v>
      </c>
      <c r="C1414">
        <v>35</v>
      </c>
      <c r="D1414" s="3">
        <v>1.32</v>
      </c>
      <c r="E1414" s="3">
        <v>46.2</v>
      </c>
      <c r="F1414">
        <v>36</v>
      </c>
      <c r="G1414">
        <v>1</v>
      </c>
      <c r="H1414" s="4">
        <v>3.8</v>
      </c>
      <c r="I1414" t="s">
        <v>46</v>
      </c>
      <c r="J1414" t="s">
        <v>46</v>
      </c>
      <c r="K1414" t="s">
        <v>47</v>
      </c>
      <c r="L1414">
        <f t="shared" si="44"/>
        <v>2021</v>
      </c>
      <c r="M1414" t="str">
        <f t="shared" si="45"/>
        <v>COVID Period</v>
      </c>
    </row>
    <row r="1415" spans="1:13" x14ac:dyDescent="0.25">
      <c r="A1415" s="2">
        <v>44228</v>
      </c>
      <c r="B1415" t="s">
        <v>42</v>
      </c>
      <c r="C1415">
        <v>36</v>
      </c>
      <c r="D1415" s="3">
        <v>4.18</v>
      </c>
      <c r="E1415" s="3">
        <v>150.47999999999999</v>
      </c>
      <c r="F1415">
        <v>50</v>
      </c>
      <c r="G1415">
        <v>15</v>
      </c>
      <c r="H1415" s="4">
        <v>0.8</v>
      </c>
      <c r="I1415" t="s">
        <v>46</v>
      </c>
      <c r="J1415" t="s">
        <v>33</v>
      </c>
      <c r="K1415" t="s">
        <v>47</v>
      </c>
      <c r="L1415">
        <f t="shared" si="44"/>
        <v>2021</v>
      </c>
      <c r="M1415" t="str">
        <f t="shared" si="45"/>
        <v>COVID Period</v>
      </c>
    </row>
    <row r="1416" spans="1:13" x14ac:dyDescent="0.25">
      <c r="A1416" s="2">
        <v>44228</v>
      </c>
      <c r="B1416" t="s">
        <v>43</v>
      </c>
      <c r="C1416">
        <v>20</v>
      </c>
      <c r="D1416" s="3">
        <v>5.67</v>
      </c>
      <c r="E1416" s="3">
        <v>113.4</v>
      </c>
      <c r="F1416">
        <v>27</v>
      </c>
      <c r="G1416">
        <v>11</v>
      </c>
      <c r="H1416" s="4">
        <v>3</v>
      </c>
      <c r="I1416" t="s">
        <v>46</v>
      </c>
      <c r="J1416" t="s">
        <v>33</v>
      </c>
      <c r="L1416">
        <f t="shared" si="44"/>
        <v>2021</v>
      </c>
      <c r="M1416" t="str">
        <f t="shared" si="45"/>
        <v>COVID Period</v>
      </c>
    </row>
    <row r="1417" spans="1:13" x14ac:dyDescent="0.25">
      <c r="A1417" s="2">
        <v>44228</v>
      </c>
      <c r="B1417" t="s">
        <v>44</v>
      </c>
      <c r="C1417">
        <v>0</v>
      </c>
      <c r="D1417" s="3">
        <v>4.88</v>
      </c>
      <c r="E1417" s="3">
        <v>0</v>
      </c>
      <c r="F1417">
        <v>3</v>
      </c>
      <c r="G1417">
        <v>3</v>
      </c>
      <c r="H1417" s="4">
        <v>2.1</v>
      </c>
      <c r="I1417" t="s">
        <v>46</v>
      </c>
      <c r="J1417" t="s">
        <v>33</v>
      </c>
      <c r="K1417" t="s">
        <v>47</v>
      </c>
      <c r="L1417">
        <f t="shared" si="44"/>
        <v>2021</v>
      </c>
      <c r="M1417" t="str">
        <f t="shared" si="45"/>
        <v>COVID Period</v>
      </c>
    </row>
    <row r="1418" spans="1:13" x14ac:dyDescent="0.25">
      <c r="A1418" s="2">
        <v>44228</v>
      </c>
      <c r="B1418" t="s">
        <v>45</v>
      </c>
      <c r="C1418">
        <v>1</v>
      </c>
      <c r="D1418" s="3">
        <v>15.19</v>
      </c>
      <c r="E1418" s="3">
        <v>15.19</v>
      </c>
      <c r="F1418">
        <v>3</v>
      </c>
      <c r="G1418">
        <v>2</v>
      </c>
      <c r="H1418" s="4">
        <v>3.6</v>
      </c>
      <c r="I1418" t="s">
        <v>46</v>
      </c>
      <c r="J1418" t="s">
        <v>33</v>
      </c>
      <c r="L1418">
        <f t="shared" si="44"/>
        <v>2021</v>
      </c>
      <c r="M1418" t="str">
        <f t="shared" si="45"/>
        <v>COVID Period</v>
      </c>
    </row>
    <row r="1419" spans="1:13" x14ac:dyDescent="0.25">
      <c r="A1419" s="2">
        <v>44235</v>
      </c>
      <c r="B1419" t="s">
        <v>32</v>
      </c>
      <c r="C1419">
        <v>30</v>
      </c>
      <c r="D1419" s="3">
        <v>6.54</v>
      </c>
      <c r="E1419" s="3">
        <v>196.2</v>
      </c>
      <c r="F1419">
        <v>49</v>
      </c>
      <c r="G1419">
        <v>25</v>
      </c>
      <c r="H1419" s="4">
        <v>3.1</v>
      </c>
      <c r="I1419" t="s">
        <v>33</v>
      </c>
      <c r="J1419" t="s">
        <v>33</v>
      </c>
      <c r="L1419">
        <f t="shared" si="44"/>
        <v>2021</v>
      </c>
      <c r="M1419" t="str">
        <f t="shared" si="45"/>
        <v>COVID Period</v>
      </c>
    </row>
    <row r="1420" spans="1:13" x14ac:dyDescent="0.25">
      <c r="A1420" s="2">
        <v>44235</v>
      </c>
      <c r="B1420" t="s">
        <v>34</v>
      </c>
      <c r="C1420">
        <v>23</v>
      </c>
      <c r="D1420" s="3">
        <v>6.93</v>
      </c>
      <c r="E1420" s="3">
        <v>159.38999999999999</v>
      </c>
      <c r="F1420">
        <v>29</v>
      </c>
      <c r="G1420">
        <v>7</v>
      </c>
      <c r="H1420" s="4">
        <v>1.4</v>
      </c>
      <c r="I1420" t="s">
        <v>33</v>
      </c>
      <c r="J1420" t="s">
        <v>33</v>
      </c>
      <c r="L1420">
        <f t="shared" si="44"/>
        <v>2021</v>
      </c>
      <c r="M1420" t="str">
        <f t="shared" si="45"/>
        <v>COVID Period</v>
      </c>
    </row>
    <row r="1421" spans="1:13" x14ac:dyDescent="0.25">
      <c r="A1421" s="2">
        <v>44235</v>
      </c>
      <c r="B1421" t="s">
        <v>35</v>
      </c>
      <c r="C1421">
        <v>15</v>
      </c>
      <c r="D1421" s="3">
        <v>5.97</v>
      </c>
      <c r="E1421" s="3">
        <v>89.55</v>
      </c>
      <c r="F1421">
        <v>24</v>
      </c>
      <c r="G1421">
        <v>11</v>
      </c>
      <c r="H1421" s="4">
        <v>0.7</v>
      </c>
      <c r="I1421" t="s">
        <v>33</v>
      </c>
      <c r="J1421" t="s">
        <v>33</v>
      </c>
      <c r="L1421">
        <f t="shared" si="44"/>
        <v>2021</v>
      </c>
      <c r="M1421" t="str">
        <f t="shared" si="45"/>
        <v>COVID Period</v>
      </c>
    </row>
    <row r="1422" spans="1:13" x14ac:dyDescent="0.25">
      <c r="A1422" s="2">
        <v>44235</v>
      </c>
      <c r="B1422" t="s">
        <v>36</v>
      </c>
      <c r="C1422">
        <v>8</v>
      </c>
      <c r="D1422" s="3">
        <v>6.45</v>
      </c>
      <c r="E1422" s="3">
        <v>51.6</v>
      </c>
      <c r="F1422">
        <v>8</v>
      </c>
      <c r="G1422">
        <v>0</v>
      </c>
      <c r="H1422" s="4">
        <v>1.4</v>
      </c>
      <c r="I1422" t="s">
        <v>33</v>
      </c>
      <c r="J1422" t="s">
        <v>33</v>
      </c>
      <c r="L1422">
        <f t="shared" si="44"/>
        <v>2021</v>
      </c>
      <c r="M1422" t="str">
        <f t="shared" si="45"/>
        <v>COVID Period</v>
      </c>
    </row>
    <row r="1423" spans="1:13" x14ac:dyDescent="0.25">
      <c r="A1423" s="2">
        <v>44235</v>
      </c>
      <c r="B1423" t="s">
        <v>37</v>
      </c>
      <c r="C1423">
        <v>29</v>
      </c>
      <c r="D1423" s="3">
        <v>3.09</v>
      </c>
      <c r="E1423" s="3">
        <v>89.61</v>
      </c>
      <c r="F1423">
        <v>45</v>
      </c>
      <c r="G1423">
        <v>19</v>
      </c>
      <c r="H1423" s="4">
        <v>1.2</v>
      </c>
      <c r="I1423" t="s">
        <v>33</v>
      </c>
      <c r="J1423" t="s">
        <v>33</v>
      </c>
      <c r="L1423">
        <f t="shared" si="44"/>
        <v>2021</v>
      </c>
      <c r="M1423" t="str">
        <f t="shared" si="45"/>
        <v>COVID Period</v>
      </c>
    </row>
    <row r="1424" spans="1:13" x14ac:dyDescent="0.25">
      <c r="A1424" s="2">
        <v>44235</v>
      </c>
      <c r="B1424" t="s">
        <v>38</v>
      </c>
      <c r="C1424">
        <v>23</v>
      </c>
      <c r="D1424" s="3">
        <v>8.32</v>
      </c>
      <c r="E1424" s="3">
        <v>191.36</v>
      </c>
      <c r="F1424">
        <v>33</v>
      </c>
      <c r="G1424">
        <v>12</v>
      </c>
      <c r="H1424" s="4">
        <v>1.1000000000000001</v>
      </c>
      <c r="I1424" t="s">
        <v>33</v>
      </c>
      <c r="J1424" t="s">
        <v>33</v>
      </c>
      <c r="L1424">
        <f t="shared" si="44"/>
        <v>2021</v>
      </c>
      <c r="M1424" t="str">
        <f t="shared" si="45"/>
        <v>COVID Period</v>
      </c>
    </row>
    <row r="1425" spans="1:13" x14ac:dyDescent="0.25">
      <c r="A1425" s="2">
        <v>44235</v>
      </c>
      <c r="B1425" t="s">
        <v>39</v>
      </c>
      <c r="C1425">
        <v>34</v>
      </c>
      <c r="D1425" s="3">
        <v>11.59</v>
      </c>
      <c r="E1425" s="3">
        <v>394.06</v>
      </c>
      <c r="F1425">
        <v>49</v>
      </c>
      <c r="G1425">
        <v>22</v>
      </c>
      <c r="H1425" s="4">
        <v>0</v>
      </c>
      <c r="I1425" t="s">
        <v>46</v>
      </c>
      <c r="J1425" t="s">
        <v>33</v>
      </c>
      <c r="K1425" t="s">
        <v>48</v>
      </c>
      <c r="L1425">
        <f t="shared" si="44"/>
        <v>2021</v>
      </c>
      <c r="M1425" t="str">
        <f t="shared" si="45"/>
        <v>COVID Period</v>
      </c>
    </row>
    <row r="1426" spans="1:13" x14ac:dyDescent="0.25">
      <c r="A1426" s="2">
        <v>44235</v>
      </c>
      <c r="B1426" t="s">
        <v>40</v>
      </c>
      <c r="C1426">
        <v>38</v>
      </c>
      <c r="D1426" s="3">
        <v>0.67</v>
      </c>
      <c r="E1426" s="3">
        <v>25.46</v>
      </c>
      <c r="F1426">
        <v>58</v>
      </c>
      <c r="G1426">
        <v>22</v>
      </c>
      <c r="H1426" s="4">
        <v>4.5</v>
      </c>
      <c r="I1426" t="s">
        <v>46</v>
      </c>
      <c r="J1426" t="s">
        <v>33</v>
      </c>
      <c r="K1426" t="s">
        <v>47</v>
      </c>
      <c r="L1426">
        <f t="shared" si="44"/>
        <v>2021</v>
      </c>
      <c r="M1426" t="str">
        <f t="shared" si="45"/>
        <v>COVID Period</v>
      </c>
    </row>
    <row r="1427" spans="1:13" x14ac:dyDescent="0.25">
      <c r="A1427" s="2">
        <v>44235</v>
      </c>
      <c r="B1427" t="s">
        <v>41</v>
      </c>
      <c r="C1427">
        <v>19</v>
      </c>
      <c r="D1427" s="3">
        <v>1.3</v>
      </c>
      <c r="E1427" s="3">
        <v>24.7</v>
      </c>
      <c r="F1427">
        <v>20</v>
      </c>
      <c r="G1427">
        <v>3</v>
      </c>
      <c r="H1427" s="4">
        <v>4.5999999999999996</v>
      </c>
      <c r="I1427" t="s">
        <v>46</v>
      </c>
      <c r="J1427" t="s">
        <v>33</v>
      </c>
      <c r="K1427" t="s">
        <v>47</v>
      </c>
      <c r="L1427">
        <f t="shared" si="44"/>
        <v>2021</v>
      </c>
      <c r="M1427" t="str">
        <f t="shared" si="45"/>
        <v>COVID Period</v>
      </c>
    </row>
    <row r="1428" spans="1:13" x14ac:dyDescent="0.25">
      <c r="A1428" s="2">
        <v>44235</v>
      </c>
      <c r="B1428" t="s">
        <v>42</v>
      </c>
      <c r="C1428">
        <v>31</v>
      </c>
      <c r="D1428" s="3">
        <v>4.13</v>
      </c>
      <c r="E1428" s="3">
        <v>128.03</v>
      </c>
      <c r="F1428">
        <v>49</v>
      </c>
      <c r="G1428">
        <v>20</v>
      </c>
      <c r="H1428" s="4">
        <v>3.3</v>
      </c>
      <c r="I1428" t="s">
        <v>46</v>
      </c>
      <c r="J1428" t="s">
        <v>33</v>
      </c>
      <c r="K1428" t="s">
        <v>47</v>
      </c>
      <c r="L1428">
        <f t="shared" si="44"/>
        <v>2021</v>
      </c>
      <c r="M1428" t="str">
        <f t="shared" si="45"/>
        <v>COVID Period</v>
      </c>
    </row>
    <row r="1429" spans="1:13" x14ac:dyDescent="0.25">
      <c r="A1429" s="2">
        <v>44235</v>
      </c>
      <c r="B1429" t="s">
        <v>43</v>
      </c>
      <c r="C1429">
        <v>21</v>
      </c>
      <c r="D1429" s="3">
        <v>5.34</v>
      </c>
      <c r="E1429" s="3">
        <v>112.14</v>
      </c>
      <c r="F1429">
        <v>32</v>
      </c>
      <c r="G1429">
        <v>13</v>
      </c>
      <c r="H1429" s="4">
        <v>3.6</v>
      </c>
      <c r="I1429" t="s">
        <v>46</v>
      </c>
      <c r="J1429" t="s">
        <v>33</v>
      </c>
      <c r="L1429">
        <f t="shared" si="44"/>
        <v>2021</v>
      </c>
      <c r="M1429" t="str">
        <f t="shared" si="45"/>
        <v>COVID Period</v>
      </c>
    </row>
    <row r="1430" spans="1:13" x14ac:dyDescent="0.25">
      <c r="A1430" s="2">
        <v>44235</v>
      </c>
      <c r="B1430" t="s">
        <v>44</v>
      </c>
      <c r="C1430">
        <v>0</v>
      </c>
      <c r="D1430" s="3">
        <v>5.04</v>
      </c>
      <c r="E1430" s="3">
        <v>0</v>
      </c>
      <c r="F1430">
        <v>3</v>
      </c>
      <c r="G1430">
        <v>3</v>
      </c>
      <c r="H1430" s="4">
        <v>4.3</v>
      </c>
      <c r="I1430" t="s">
        <v>46</v>
      </c>
      <c r="J1430" t="s">
        <v>33</v>
      </c>
      <c r="K1430" t="s">
        <v>47</v>
      </c>
      <c r="L1430">
        <f t="shared" si="44"/>
        <v>2021</v>
      </c>
      <c r="M1430" t="str">
        <f t="shared" si="45"/>
        <v>COVID Period</v>
      </c>
    </row>
    <row r="1431" spans="1:13" x14ac:dyDescent="0.25">
      <c r="A1431" s="2">
        <v>44235</v>
      </c>
      <c r="B1431" t="s">
        <v>45</v>
      </c>
      <c r="C1431">
        <v>1</v>
      </c>
      <c r="D1431" s="3">
        <v>15.25</v>
      </c>
      <c r="E1431" s="3">
        <v>15.25</v>
      </c>
      <c r="F1431">
        <v>3</v>
      </c>
      <c r="G1431">
        <v>2</v>
      </c>
      <c r="H1431" s="4">
        <v>3.6</v>
      </c>
      <c r="I1431" t="s">
        <v>46</v>
      </c>
      <c r="J1431" t="s">
        <v>33</v>
      </c>
      <c r="L1431">
        <f t="shared" si="44"/>
        <v>2021</v>
      </c>
      <c r="M1431" t="str">
        <f t="shared" si="45"/>
        <v>COVID Period</v>
      </c>
    </row>
    <row r="1432" spans="1:13" x14ac:dyDescent="0.25">
      <c r="A1432" s="2">
        <v>44242</v>
      </c>
      <c r="B1432" t="s">
        <v>32</v>
      </c>
      <c r="C1432">
        <v>27</v>
      </c>
      <c r="D1432" s="3">
        <v>6.71</v>
      </c>
      <c r="E1432" s="3">
        <v>181.17</v>
      </c>
      <c r="F1432">
        <v>43</v>
      </c>
      <c r="G1432">
        <v>20</v>
      </c>
      <c r="H1432" s="4">
        <v>0.4</v>
      </c>
      <c r="I1432" t="s">
        <v>33</v>
      </c>
      <c r="J1432" t="s">
        <v>33</v>
      </c>
      <c r="L1432">
        <f t="shared" si="44"/>
        <v>2021</v>
      </c>
      <c r="M1432" t="str">
        <f t="shared" si="45"/>
        <v>COVID Period</v>
      </c>
    </row>
    <row r="1433" spans="1:13" x14ac:dyDescent="0.25">
      <c r="A1433" s="2">
        <v>44242</v>
      </c>
      <c r="B1433" t="s">
        <v>34</v>
      </c>
      <c r="C1433">
        <v>26</v>
      </c>
      <c r="D1433" s="3">
        <v>7.21</v>
      </c>
      <c r="E1433" s="3">
        <v>187.46</v>
      </c>
      <c r="F1433">
        <v>33</v>
      </c>
      <c r="G1433">
        <v>9</v>
      </c>
      <c r="H1433" s="4">
        <v>1.1000000000000001</v>
      </c>
      <c r="I1433" t="s">
        <v>33</v>
      </c>
      <c r="J1433" t="s">
        <v>33</v>
      </c>
      <c r="L1433">
        <f t="shared" si="44"/>
        <v>2021</v>
      </c>
      <c r="M1433" t="str">
        <f t="shared" si="45"/>
        <v>COVID Period</v>
      </c>
    </row>
    <row r="1434" spans="1:13" x14ac:dyDescent="0.25">
      <c r="A1434" s="2">
        <v>44242</v>
      </c>
      <c r="B1434" t="s">
        <v>35</v>
      </c>
      <c r="C1434">
        <v>18</v>
      </c>
      <c r="D1434" s="3">
        <v>5.81</v>
      </c>
      <c r="E1434" s="3">
        <v>104.58</v>
      </c>
      <c r="F1434">
        <v>23</v>
      </c>
      <c r="G1434">
        <v>7</v>
      </c>
      <c r="H1434" s="4">
        <v>1.8</v>
      </c>
      <c r="I1434" t="s">
        <v>33</v>
      </c>
      <c r="J1434" t="s">
        <v>33</v>
      </c>
      <c r="L1434">
        <f t="shared" si="44"/>
        <v>2021</v>
      </c>
      <c r="M1434" t="str">
        <f t="shared" si="45"/>
        <v>COVID Period</v>
      </c>
    </row>
    <row r="1435" spans="1:13" x14ac:dyDescent="0.25">
      <c r="A1435" s="2">
        <v>44242</v>
      </c>
      <c r="B1435" t="s">
        <v>36</v>
      </c>
      <c r="C1435">
        <v>19</v>
      </c>
      <c r="D1435" s="3">
        <v>6.34</v>
      </c>
      <c r="E1435" s="3">
        <v>120.46</v>
      </c>
      <c r="F1435">
        <v>29</v>
      </c>
      <c r="G1435">
        <v>12</v>
      </c>
      <c r="H1435" s="4">
        <v>1.3</v>
      </c>
      <c r="I1435" t="s">
        <v>33</v>
      </c>
      <c r="J1435" t="s">
        <v>33</v>
      </c>
      <c r="L1435">
        <f t="shared" si="44"/>
        <v>2021</v>
      </c>
      <c r="M1435" t="str">
        <f t="shared" si="45"/>
        <v>COVID Period</v>
      </c>
    </row>
    <row r="1436" spans="1:13" x14ac:dyDescent="0.25">
      <c r="A1436" s="2">
        <v>44242</v>
      </c>
      <c r="B1436" t="s">
        <v>37</v>
      </c>
      <c r="C1436">
        <v>44</v>
      </c>
      <c r="D1436" s="3">
        <v>3.2</v>
      </c>
      <c r="E1436" s="3">
        <v>140.80000000000001</v>
      </c>
      <c r="F1436">
        <v>68</v>
      </c>
      <c r="G1436">
        <v>36</v>
      </c>
      <c r="H1436" s="4">
        <v>1.6</v>
      </c>
      <c r="I1436" t="s">
        <v>33</v>
      </c>
      <c r="J1436" t="s">
        <v>33</v>
      </c>
      <c r="L1436">
        <f t="shared" si="44"/>
        <v>2021</v>
      </c>
      <c r="M1436" t="str">
        <f t="shared" si="45"/>
        <v>COVID Period</v>
      </c>
    </row>
    <row r="1437" spans="1:13" x14ac:dyDescent="0.25">
      <c r="A1437" s="2">
        <v>44242</v>
      </c>
      <c r="B1437" t="s">
        <v>38</v>
      </c>
      <c r="C1437">
        <v>19</v>
      </c>
      <c r="D1437" s="3">
        <v>8.6199999999999992</v>
      </c>
      <c r="E1437" s="3">
        <v>163.78</v>
      </c>
      <c r="F1437">
        <v>22</v>
      </c>
      <c r="G1437">
        <v>6</v>
      </c>
      <c r="H1437" s="4">
        <v>1.9</v>
      </c>
      <c r="I1437" t="s">
        <v>33</v>
      </c>
      <c r="J1437" t="s">
        <v>33</v>
      </c>
      <c r="L1437">
        <f t="shared" si="44"/>
        <v>2021</v>
      </c>
      <c r="M1437" t="str">
        <f t="shared" si="45"/>
        <v>COVID Period</v>
      </c>
    </row>
    <row r="1438" spans="1:13" x14ac:dyDescent="0.25">
      <c r="A1438" s="2">
        <v>44242</v>
      </c>
      <c r="B1438" t="s">
        <v>39</v>
      </c>
      <c r="C1438">
        <v>42</v>
      </c>
      <c r="D1438" s="3">
        <v>11.64</v>
      </c>
      <c r="E1438" s="3">
        <v>488.88</v>
      </c>
      <c r="F1438">
        <v>47</v>
      </c>
      <c r="G1438">
        <v>8</v>
      </c>
      <c r="H1438" s="4">
        <v>2</v>
      </c>
      <c r="I1438" t="s">
        <v>46</v>
      </c>
      <c r="J1438" t="s">
        <v>33</v>
      </c>
      <c r="K1438" t="s">
        <v>48</v>
      </c>
      <c r="L1438">
        <f t="shared" si="44"/>
        <v>2021</v>
      </c>
      <c r="M1438" t="str">
        <f t="shared" si="45"/>
        <v>COVID Period</v>
      </c>
    </row>
    <row r="1439" spans="1:13" x14ac:dyDescent="0.25">
      <c r="A1439" s="2">
        <v>44242</v>
      </c>
      <c r="B1439" t="s">
        <v>40</v>
      </c>
      <c r="C1439">
        <v>34</v>
      </c>
      <c r="D1439" s="3">
        <v>0.67</v>
      </c>
      <c r="E1439" s="3">
        <v>22.78</v>
      </c>
      <c r="F1439">
        <v>35</v>
      </c>
      <c r="G1439">
        <v>5</v>
      </c>
      <c r="H1439" s="4">
        <v>4.3</v>
      </c>
      <c r="I1439" t="s">
        <v>46</v>
      </c>
      <c r="J1439" t="s">
        <v>33</v>
      </c>
      <c r="K1439" t="s">
        <v>47</v>
      </c>
      <c r="L1439">
        <f t="shared" si="44"/>
        <v>2021</v>
      </c>
      <c r="M1439" t="str">
        <f t="shared" si="45"/>
        <v>COVID Period</v>
      </c>
    </row>
    <row r="1440" spans="1:13" x14ac:dyDescent="0.25">
      <c r="A1440" s="2">
        <v>44242</v>
      </c>
      <c r="B1440" t="s">
        <v>41</v>
      </c>
      <c r="C1440">
        <v>19</v>
      </c>
      <c r="D1440" s="3">
        <v>1.42</v>
      </c>
      <c r="E1440" s="3">
        <v>26.98</v>
      </c>
      <c r="F1440">
        <v>23</v>
      </c>
      <c r="G1440">
        <v>4</v>
      </c>
      <c r="H1440" s="4">
        <v>4.9000000000000004</v>
      </c>
      <c r="I1440" t="s">
        <v>46</v>
      </c>
      <c r="J1440" t="s">
        <v>33</v>
      </c>
      <c r="K1440" t="s">
        <v>47</v>
      </c>
      <c r="L1440">
        <f t="shared" si="44"/>
        <v>2021</v>
      </c>
      <c r="M1440" t="str">
        <f t="shared" si="45"/>
        <v>COVID Period</v>
      </c>
    </row>
    <row r="1441" spans="1:13" x14ac:dyDescent="0.25">
      <c r="A1441" s="2">
        <v>44242</v>
      </c>
      <c r="B1441" t="s">
        <v>42</v>
      </c>
      <c r="C1441">
        <v>45</v>
      </c>
      <c r="D1441" s="3">
        <v>4.3499999999999996</v>
      </c>
      <c r="E1441" s="3">
        <v>195.75</v>
      </c>
      <c r="F1441">
        <v>53</v>
      </c>
      <c r="G1441">
        <v>15</v>
      </c>
      <c r="H1441" s="4">
        <v>2.9</v>
      </c>
      <c r="I1441" t="s">
        <v>46</v>
      </c>
      <c r="J1441" t="s">
        <v>33</v>
      </c>
      <c r="K1441" t="s">
        <v>47</v>
      </c>
      <c r="L1441">
        <f t="shared" si="44"/>
        <v>2021</v>
      </c>
      <c r="M1441" t="str">
        <f t="shared" si="45"/>
        <v>COVID Period</v>
      </c>
    </row>
    <row r="1442" spans="1:13" x14ac:dyDescent="0.25">
      <c r="A1442" s="2">
        <v>44242</v>
      </c>
      <c r="B1442" t="s">
        <v>43</v>
      </c>
      <c r="C1442">
        <v>18</v>
      </c>
      <c r="D1442" s="3">
        <v>5.33</v>
      </c>
      <c r="E1442" s="3">
        <v>95.94</v>
      </c>
      <c r="F1442">
        <v>22</v>
      </c>
      <c r="G1442">
        <v>5</v>
      </c>
      <c r="H1442" s="4">
        <v>6.2</v>
      </c>
      <c r="I1442" t="s">
        <v>46</v>
      </c>
      <c r="J1442" t="s">
        <v>33</v>
      </c>
      <c r="L1442">
        <f t="shared" si="44"/>
        <v>2021</v>
      </c>
      <c r="M1442" t="str">
        <f t="shared" si="45"/>
        <v>COVID Period</v>
      </c>
    </row>
    <row r="1443" spans="1:13" x14ac:dyDescent="0.25">
      <c r="A1443" s="2">
        <v>44242</v>
      </c>
      <c r="B1443" t="s">
        <v>44</v>
      </c>
      <c r="C1443">
        <v>0</v>
      </c>
      <c r="D1443" s="3">
        <v>4.8</v>
      </c>
      <c r="E1443" s="3">
        <v>0</v>
      </c>
      <c r="F1443">
        <v>3</v>
      </c>
      <c r="G1443">
        <v>3</v>
      </c>
      <c r="H1443" s="4">
        <v>2.1</v>
      </c>
      <c r="I1443" t="s">
        <v>46</v>
      </c>
      <c r="J1443" t="s">
        <v>33</v>
      </c>
      <c r="K1443" t="s">
        <v>47</v>
      </c>
      <c r="L1443">
        <f t="shared" si="44"/>
        <v>2021</v>
      </c>
      <c r="M1443" t="str">
        <f t="shared" si="45"/>
        <v>COVID Period</v>
      </c>
    </row>
    <row r="1444" spans="1:13" x14ac:dyDescent="0.25">
      <c r="A1444" s="2">
        <v>44242</v>
      </c>
      <c r="B1444" t="s">
        <v>45</v>
      </c>
      <c r="C1444">
        <v>0</v>
      </c>
      <c r="D1444" s="3">
        <v>15.6</v>
      </c>
      <c r="E1444" s="3">
        <v>0</v>
      </c>
      <c r="F1444">
        <v>3</v>
      </c>
      <c r="G1444">
        <v>3</v>
      </c>
      <c r="H1444" s="4">
        <v>3.2</v>
      </c>
      <c r="I1444" t="s">
        <v>46</v>
      </c>
      <c r="J1444" t="s">
        <v>33</v>
      </c>
      <c r="L1444">
        <f t="shared" si="44"/>
        <v>2021</v>
      </c>
      <c r="M1444" t="str">
        <f t="shared" si="45"/>
        <v>COVID Period</v>
      </c>
    </row>
    <row r="1445" spans="1:13" x14ac:dyDescent="0.25">
      <c r="A1445" s="2">
        <v>44249</v>
      </c>
      <c r="B1445" t="s">
        <v>32</v>
      </c>
      <c r="C1445">
        <v>27</v>
      </c>
      <c r="D1445" s="3">
        <v>7.07</v>
      </c>
      <c r="E1445" s="3">
        <v>190.89</v>
      </c>
      <c r="F1445">
        <v>33</v>
      </c>
      <c r="G1445">
        <v>9</v>
      </c>
      <c r="H1445" s="4">
        <v>2.6</v>
      </c>
      <c r="I1445" t="s">
        <v>33</v>
      </c>
      <c r="J1445" t="s">
        <v>33</v>
      </c>
      <c r="L1445">
        <f t="shared" si="44"/>
        <v>2021</v>
      </c>
      <c r="M1445" t="str">
        <f t="shared" si="45"/>
        <v>COVID Period</v>
      </c>
    </row>
    <row r="1446" spans="1:13" x14ac:dyDescent="0.25">
      <c r="A1446" s="2">
        <v>44249</v>
      </c>
      <c r="B1446" t="s">
        <v>34</v>
      </c>
      <c r="C1446">
        <v>21</v>
      </c>
      <c r="D1446" s="3">
        <v>7.04</v>
      </c>
      <c r="E1446" s="3">
        <v>147.84</v>
      </c>
      <c r="F1446">
        <v>23</v>
      </c>
      <c r="G1446">
        <v>3</v>
      </c>
      <c r="H1446" s="4">
        <v>0.8</v>
      </c>
      <c r="I1446" t="s">
        <v>33</v>
      </c>
      <c r="J1446" t="s">
        <v>33</v>
      </c>
      <c r="L1446">
        <f t="shared" si="44"/>
        <v>2021</v>
      </c>
      <c r="M1446" t="str">
        <f t="shared" si="45"/>
        <v>COVID Period</v>
      </c>
    </row>
    <row r="1447" spans="1:13" x14ac:dyDescent="0.25">
      <c r="A1447" s="2">
        <v>44249</v>
      </c>
      <c r="B1447" t="s">
        <v>35</v>
      </c>
      <c r="C1447">
        <v>12</v>
      </c>
      <c r="D1447" s="3">
        <v>5.69</v>
      </c>
      <c r="E1447" s="3">
        <v>68.28</v>
      </c>
      <c r="F1447">
        <v>15</v>
      </c>
      <c r="G1447">
        <v>4</v>
      </c>
      <c r="H1447" s="4">
        <v>2</v>
      </c>
      <c r="I1447" t="s">
        <v>33</v>
      </c>
      <c r="J1447" t="s">
        <v>33</v>
      </c>
      <c r="L1447">
        <f t="shared" si="44"/>
        <v>2021</v>
      </c>
      <c r="M1447" t="str">
        <f t="shared" si="45"/>
        <v>COVID Period</v>
      </c>
    </row>
    <row r="1448" spans="1:13" x14ac:dyDescent="0.25">
      <c r="A1448" s="2">
        <v>44249</v>
      </c>
      <c r="B1448" t="s">
        <v>36</v>
      </c>
      <c r="C1448">
        <v>17</v>
      </c>
      <c r="D1448" s="3">
        <v>6.41</v>
      </c>
      <c r="E1448" s="3">
        <v>108.97</v>
      </c>
      <c r="F1448">
        <v>22</v>
      </c>
      <c r="G1448">
        <v>6</v>
      </c>
      <c r="H1448" s="4">
        <v>3</v>
      </c>
      <c r="I1448" t="s">
        <v>33</v>
      </c>
      <c r="J1448" t="s">
        <v>33</v>
      </c>
      <c r="L1448">
        <f t="shared" si="44"/>
        <v>2021</v>
      </c>
      <c r="M1448" t="str">
        <f t="shared" si="45"/>
        <v>COVID Period</v>
      </c>
    </row>
    <row r="1449" spans="1:13" x14ac:dyDescent="0.25">
      <c r="A1449" s="2">
        <v>44249</v>
      </c>
      <c r="B1449" t="s">
        <v>37</v>
      </c>
      <c r="C1449">
        <v>32</v>
      </c>
      <c r="D1449" s="3">
        <v>3.13</v>
      </c>
      <c r="E1449" s="3">
        <v>100.16</v>
      </c>
      <c r="F1449">
        <v>39</v>
      </c>
      <c r="G1449">
        <v>10</v>
      </c>
      <c r="H1449" s="4">
        <v>0</v>
      </c>
      <c r="I1449" t="s">
        <v>33</v>
      </c>
      <c r="J1449" t="s">
        <v>33</v>
      </c>
      <c r="L1449">
        <f t="shared" si="44"/>
        <v>2021</v>
      </c>
      <c r="M1449" t="str">
        <f t="shared" si="45"/>
        <v>COVID Period</v>
      </c>
    </row>
    <row r="1450" spans="1:13" x14ac:dyDescent="0.25">
      <c r="A1450" s="2">
        <v>44249</v>
      </c>
      <c r="B1450" t="s">
        <v>38</v>
      </c>
      <c r="C1450">
        <v>24</v>
      </c>
      <c r="D1450" s="3">
        <v>8.5299999999999994</v>
      </c>
      <c r="E1450" s="3">
        <v>204.72</v>
      </c>
      <c r="F1450">
        <v>27</v>
      </c>
      <c r="G1450">
        <v>6</v>
      </c>
      <c r="H1450" s="4">
        <v>1.5</v>
      </c>
      <c r="I1450" t="s">
        <v>33</v>
      </c>
      <c r="J1450" t="s">
        <v>33</v>
      </c>
      <c r="L1450">
        <f t="shared" si="44"/>
        <v>2021</v>
      </c>
      <c r="M1450" t="str">
        <f t="shared" si="45"/>
        <v>COVID Period</v>
      </c>
    </row>
    <row r="1451" spans="1:13" x14ac:dyDescent="0.25">
      <c r="A1451" s="2">
        <v>44249</v>
      </c>
      <c r="B1451" t="s">
        <v>39</v>
      </c>
      <c r="C1451">
        <v>42</v>
      </c>
      <c r="D1451" s="3">
        <v>11.22</v>
      </c>
      <c r="E1451" s="3">
        <v>471.24</v>
      </c>
      <c r="F1451">
        <v>69</v>
      </c>
      <c r="G1451">
        <v>34</v>
      </c>
      <c r="H1451" s="4">
        <v>0.8</v>
      </c>
      <c r="I1451" t="s">
        <v>46</v>
      </c>
      <c r="J1451" t="s">
        <v>33</v>
      </c>
      <c r="K1451" t="s">
        <v>48</v>
      </c>
      <c r="L1451">
        <f t="shared" si="44"/>
        <v>2021</v>
      </c>
      <c r="M1451" t="str">
        <f t="shared" si="45"/>
        <v>COVID Period</v>
      </c>
    </row>
    <row r="1452" spans="1:13" x14ac:dyDescent="0.25">
      <c r="A1452" s="2">
        <v>44249</v>
      </c>
      <c r="B1452" t="s">
        <v>40</v>
      </c>
      <c r="C1452">
        <v>33</v>
      </c>
      <c r="D1452" s="3">
        <v>0.63</v>
      </c>
      <c r="E1452" s="3">
        <v>20.79</v>
      </c>
      <c r="F1452">
        <v>40</v>
      </c>
      <c r="G1452">
        <v>10</v>
      </c>
      <c r="H1452" s="4">
        <v>3.4</v>
      </c>
      <c r="I1452" t="s">
        <v>46</v>
      </c>
      <c r="J1452" t="s">
        <v>33</v>
      </c>
      <c r="K1452" t="s">
        <v>47</v>
      </c>
      <c r="L1452">
        <f t="shared" si="44"/>
        <v>2021</v>
      </c>
      <c r="M1452" t="str">
        <f t="shared" si="45"/>
        <v>COVID Period</v>
      </c>
    </row>
    <row r="1453" spans="1:13" x14ac:dyDescent="0.25">
      <c r="A1453" s="2">
        <v>44249</v>
      </c>
      <c r="B1453" t="s">
        <v>41</v>
      </c>
      <c r="C1453">
        <v>32</v>
      </c>
      <c r="D1453" s="3">
        <v>1.36</v>
      </c>
      <c r="E1453" s="3">
        <v>43.52</v>
      </c>
      <c r="F1453">
        <v>50</v>
      </c>
      <c r="G1453">
        <v>26</v>
      </c>
      <c r="H1453" s="4">
        <v>4.5999999999999996</v>
      </c>
      <c r="I1453" t="s">
        <v>46</v>
      </c>
      <c r="J1453" t="s">
        <v>33</v>
      </c>
      <c r="K1453" t="s">
        <v>47</v>
      </c>
      <c r="L1453">
        <f t="shared" si="44"/>
        <v>2021</v>
      </c>
      <c r="M1453" t="str">
        <f t="shared" si="45"/>
        <v>COVID Period</v>
      </c>
    </row>
    <row r="1454" spans="1:13" x14ac:dyDescent="0.25">
      <c r="A1454" s="2">
        <v>44249</v>
      </c>
      <c r="B1454" t="s">
        <v>42</v>
      </c>
      <c r="C1454">
        <v>45</v>
      </c>
      <c r="D1454" s="3">
        <v>4.1900000000000004</v>
      </c>
      <c r="E1454" s="3">
        <v>188.55</v>
      </c>
      <c r="F1454">
        <v>58</v>
      </c>
      <c r="G1454">
        <v>18</v>
      </c>
      <c r="H1454" s="4">
        <v>4.4000000000000004</v>
      </c>
      <c r="I1454" t="s">
        <v>46</v>
      </c>
      <c r="J1454" t="s">
        <v>33</v>
      </c>
      <c r="K1454" t="s">
        <v>47</v>
      </c>
      <c r="L1454">
        <f t="shared" si="44"/>
        <v>2021</v>
      </c>
      <c r="M1454" t="str">
        <f t="shared" si="45"/>
        <v>COVID Period</v>
      </c>
    </row>
    <row r="1455" spans="1:13" x14ac:dyDescent="0.25">
      <c r="A1455" s="2">
        <v>44249</v>
      </c>
      <c r="B1455" t="s">
        <v>43</v>
      </c>
      <c r="C1455">
        <v>18</v>
      </c>
      <c r="D1455" s="3">
        <v>5.29</v>
      </c>
      <c r="E1455" s="3">
        <v>95.22</v>
      </c>
      <c r="F1455">
        <v>23</v>
      </c>
      <c r="G1455">
        <v>8</v>
      </c>
      <c r="H1455" s="4">
        <v>4.5999999999999996</v>
      </c>
      <c r="I1455" t="s">
        <v>46</v>
      </c>
      <c r="J1455" t="s">
        <v>33</v>
      </c>
      <c r="L1455">
        <f t="shared" si="44"/>
        <v>2021</v>
      </c>
      <c r="M1455" t="str">
        <f t="shared" si="45"/>
        <v>COVID Period</v>
      </c>
    </row>
    <row r="1456" spans="1:13" x14ac:dyDescent="0.25">
      <c r="A1456" s="2">
        <v>44249</v>
      </c>
      <c r="B1456" t="s">
        <v>44</v>
      </c>
      <c r="C1456">
        <v>1</v>
      </c>
      <c r="D1456" s="3">
        <v>4.76</v>
      </c>
      <c r="E1456" s="3">
        <v>4.76</v>
      </c>
      <c r="F1456">
        <v>3</v>
      </c>
      <c r="G1456">
        <v>2</v>
      </c>
      <c r="H1456" s="4">
        <v>3.5</v>
      </c>
      <c r="I1456" t="s">
        <v>46</v>
      </c>
      <c r="J1456" t="s">
        <v>46</v>
      </c>
      <c r="K1456" t="s">
        <v>47</v>
      </c>
      <c r="L1456">
        <f t="shared" si="44"/>
        <v>2021</v>
      </c>
      <c r="M1456" t="str">
        <f t="shared" si="45"/>
        <v>COVID Period</v>
      </c>
    </row>
    <row r="1457" spans="1:13" x14ac:dyDescent="0.25">
      <c r="A1457" s="2">
        <v>44249</v>
      </c>
      <c r="B1457" t="s">
        <v>45</v>
      </c>
      <c r="C1457">
        <v>1</v>
      </c>
      <c r="D1457" s="3">
        <v>15.66</v>
      </c>
      <c r="E1457" s="3">
        <v>15.66</v>
      </c>
      <c r="F1457">
        <v>3</v>
      </c>
      <c r="G1457">
        <v>2</v>
      </c>
      <c r="H1457" s="4">
        <v>2.2000000000000002</v>
      </c>
      <c r="I1457" t="s">
        <v>46</v>
      </c>
      <c r="J1457" t="s">
        <v>33</v>
      </c>
      <c r="L1457">
        <f t="shared" si="44"/>
        <v>2021</v>
      </c>
      <c r="M1457" t="str">
        <f t="shared" si="45"/>
        <v>COVID Period</v>
      </c>
    </row>
    <row r="1458" spans="1:13" x14ac:dyDescent="0.25">
      <c r="A1458" s="2">
        <v>44256</v>
      </c>
      <c r="B1458" t="s">
        <v>32</v>
      </c>
      <c r="C1458">
        <v>36</v>
      </c>
      <c r="D1458" s="3">
        <v>6.98</v>
      </c>
      <c r="E1458" s="3">
        <v>251.28</v>
      </c>
      <c r="F1458">
        <v>56</v>
      </c>
      <c r="G1458">
        <v>26</v>
      </c>
      <c r="H1458" s="4">
        <v>1.3</v>
      </c>
      <c r="I1458" t="s">
        <v>46</v>
      </c>
      <c r="J1458" t="s">
        <v>33</v>
      </c>
      <c r="L1458">
        <f t="shared" si="44"/>
        <v>2021</v>
      </c>
      <c r="M1458" t="str">
        <f t="shared" si="45"/>
        <v>COVID Period</v>
      </c>
    </row>
    <row r="1459" spans="1:13" x14ac:dyDescent="0.25">
      <c r="A1459" s="2">
        <v>44256</v>
      </c>
      <c r="B1459" t="s">
        <v>34</v>
      </c>
      <c r="C1459">
        <v>17</v>
      </c>
      <c r="D1459" s="3">
        <v>7.07</v>
      </c>
      <c r="E1459" s="3">
        <v>120.19</v>
      </c>
      <c r="F1459">
        <v>18</v>
      </c>
      <c r="G1459">
        <v>2</v>
      </c>
      <c r="H1459" s="4">
        <v>3.1</v>
      </c>
      <c r="I1459" t="s">
        <v>33</v>
      </c>
      <c r="J1459" t="s">
        <v>46</v>
      </c>
      <c r="L1459">
        <f t="shared" si="44"/>
        <v>2021</v>
      </c>
      <c r="M1459" t="str">
        <f t="shared" si="45"/>
        <v>COVID Period</v>
      </c>
    </row>
    <row r="1460" spans="1:13" x14ac:dyDescent="0.25">
      <c r="A1460" s="2">
        <v>44256</v>
      </c>
      <c r="B1460" t="s">
        <v>35</v>
      </c>
      <c r="C1460">
        <v>13</v>
      </c>
      <c r="D1460" s="3">
        <v>5.73</v>
      </c>
      <c r="E1460" s="3">
        <v>74.489999999999995</v>
      </c>
      <c r="F1460">
        <v>17</v>
      </c>
      <c r="G1460">
        <v>5</v>
      </c>
      <c r="H1460" s="4">
        <v>1.4</v>
      </c>
      <c r="I1460" t="s">
        <v>33</v>
      </c>
      <c r="J1460" t="s">
        <v>33</v>
      </c>
      <c r="L1460">
        <f t="shared" si="44"/>
        <v>2021</v>
      </c>
      <c r="M1460" t="str">
        <f t="shared" si="45"/>
        <v>COVID Period</v>
      </c>
    </row>
    <row r="1461" spans="1:13" x14ac:dyDescent="0.25">
      <c r="A1461" s="2">
        <v>44256</v>
      </c>
      <c r="B1461" t="s">
        <v>36</v>
      </c>
      <c r="C1461">
        <v>16</v>
      </c>
      <c r="D1461" s="3">
        <v>6.46</v>
      </c>
      <c r="E1461" s="3">
        <v>103.36</v>
      </c>
      <c r="F1461">
        <v>18</v>
      </c>
      <c r="G1461">
        <v>4</v>
      </c>
      <c r="H1461" s="4">
        <v>0.1</v>
      </c>
      <c r="I1461" t="s">
        <v>33</v>
      </c>
      <c r="J1461" t="s">
        <v>33</v>
      </c>
      <c r="L1461">
        <f t="shared" si="44"/>
        <v>2021</v>
      </c>
      <c r="M1461" t="str">
        <f t="shared" si="45"/>
        <v>COVID Period</v>
      </c>
    </row>
    <row r="1462" spans="1:13" x14ac:dyDescent="0.25">
      <c r="A1462" s="2">
        <v>44256</v>
      </c>
      <c r="B1462" t="s">
        <v>37</v>
      </c>
      <c r="C1462">
        <v>38</v>
      </c>
      <c r="D1462" s="3">
        <v>3.16</v>
      </c>
      <c r="E1462" s="3">
        <v>120.08</v>
      </c>
      <c r="F1462">
        <v>43</v>
      </c>
      <c r="G1462">
        <v>10</v>
      </c>
      <c r="H1462" s="4">
        <v>2.4</v>
      </c>
      <c r="I1462" t="s">
        <v>33</v>
      </c>
      <c r="J1462" t="s">
        <v>33</v>
      </c>
      <c r="L1462">
        <f t="shared" si="44"/>
        <v>2021</v>
      </c>
      <c r="M1462" t="str">
        <f t="shared" si="45"/>
        <v>COVID Period</v>
      </c>
    </row>
    <row r="1463" spans="1:13" x14ac:dyDescent="0.25">
      <c r="A1463" s="2">
        <v>44256</v>
      </c>
      <c r="B1463" t="s">
        <v>38</v>
      </c>
      <c r="C1463">
        <v>18</v>
      </c>
      <c r="D1463" s="3">
        <v>8.2200000000000006</v>
      </c>
      <c r="E1463" s="3">
        <v>147.96</v>
      </c>
      <c r="F1463">
        <v>25</v>
      </c>
      <c r="G1463">
        <v>8</v>
      </c>
      <c r="H1463" s="4">
        <v>1.2</v>
      </c>
      <c r="I1463" t="s">
        <v>33</v>
      </c>
      <c r="J1463" t="s">
        <v>33</v>
      </c>
      <c r="L1463">
        <f t="shared" si="44"/>
        <v>2021</v>
      </c>
      <c r="M1463" t="str">
        <f t="shared" si="45"/>
        <v>COVID Period</v>
      </c>
    </row>
    <row r="1464" spans="1:13" x14ac:dyDescent="0.25">
      <c r="A1464" s="2">
        <v>44256</v>
      </c>
      <c r="B1464" t="s">
        <v>39</v>
      </c>
      <c r="C1464">
        <v>35</v>
      </c>
      <c r="D1464" s="3">
        <v>11.44</v>
      </c>
      <c r="E1464" s="3">
        <v>400.4</v>
      </c>
      <c r="F1464">
        <v>55</v>
      </c>
      <c r="G1464">
        <v>24</v>
      </c>
      <c r="H1464" s="4">
        <v>2.6</v>
      </c>
      <c r="I1464" t="s">
        <v>46</v>
      </c>
      <c r="J1464" t="s">
        <v>33</v>
      </c>
      <c r="K1464" t="s">
        <v>48</v>
      </c>
      <c r="L1464">
        <f t="shared" si="44"/>
        <v>2021</v>
      </c>
      <c r="M1464" t="str">
        <f t="shared" si="45"/>
        <v>COVID Period</v>
      </c>
    </row>
    <row r="1465" spans="1:13" x14ac:dyDescent="0.25">
      <c r="A1465" s="2">
        <v>44256</v>
      </c>
      <c r="B1465" t="s">
        <v>40</v>
      </c>
      <c r="C1465">
        <v>42</v>
      </c>
      <c r="D1465" s="3">
        <v>0.63</v>
      </c>
      <c r="E1465" s="3">
        <v>26.46</v>
      </c>
      <c r="F1465">
        <v>57</v>
      </c>
      <c r="G1465">
        <v>22</v>
      </c>
      <c r="H1465" s="4">
        <v>4.4000000000000004</v>
      </c>
      <c r="I1465" t="s">
        <v>46</v>
      </c>
      <c r="J1465" t="s">
        <v>33</v>
      </c>
      <c r="K1465" t="s">
        <v>47</v>
      </c>
      <c r="L1465">
        <f t="shared" si="44"/>
        <v>2021</v>
      </c>
      <c r="M1465" t="str">
        <f t="shared" si="45"/>
        <v>COVID Period</v>
      </c>
    </row>
    <row r="1466" spans="1:13" x14ac:dyDescent="0.25">
      <c r="A1466" s="2">
        <v>44256</v>
      </c>
      <c r="B1466" t="s">
        <v>41</v>
      </c>
      <c r="C1466">
        <v>22</v>
      </c>
      <c r="D1466" s="3">
        <v>1.41</v>
      </c>
      <c r="E1466" s="3">
        <v>31.02</v>
      </c>
      <c r="F1466">
        <v>28</v>
      </c>
      <c r="G1466">
        <v>8</v>
      </c>
      <c r="H1466" s="4">
        <v>3.5</v>
      </c>
      <c r="I1466" t="s">
        <v>46</v>
      </c>
      <c r="J1466" t="s">
        <v>33</v>
      </c>
      <c r="K1466" t="s">
        <v>47</v>
      </c>
      <c r="L1466">
        <f t="shared" si="44"/>
        <v>2021</v>
      </c>
      <c r="M1466" t="str">
        <f t="shared" si="45"/>
        <v>COVID Period</v>
      </c>
    </row>
    <row r="1467" spans="1:13" x14ac:dyDescent="0.25">
      <c r="A1467" s="2">
        <v>44256</v>
      </c>
      <c r="B1467" t="s">
        <v>42</v>
      </c>
      <c r="C1467">
        <v>40</v>
      </c>
      <c r="D1467" s="3">
        <v>4.2300000000000004</v>
      </c>
      <c r="E1467" s="3">
        <v>169.2</v>
      </c>
      <c r="F1467">
        <v>56</v>
      </c>
      <c r="G1467">
        <v>24</v>
      </c>
      <c r="H1467" s="4">
        <v>4.5999999999999996</v>
      </c>
      <c r="I1467" t="s">
        <v>46</v>
      </c>
      <c r="J1467" t="s">
        <v>33</v>
      </c>
      <c r="K1467" t="s">
        <v>47</v>
      </c>
      <c r="L1467">
        <f t="shared" si="44"/>
        <v>2021</v>
      </c>
      <c r="M1467" t="str">
        <f t="shared" si="45"/>
        <v>COVID Period</v>
      </c>
    </row>
    <row r="1468" spans="1:13" x14ac:dyDescent="0.25">
      <c r="A1468" s="2">
        <v>44256</v>
      </c>
      <c r="B1468" t="s">
        <v>43</v>
      </c>
      <c r="C1468">
        <v>21</v>
      </c>
      <c r="D1468" s="3">
        <v>5.58</v>
      </c>
      <c r="E1468" s="3">
        <v>117.18</v>
      </c>
      <c r="F1468">
        <v>27</v>
      </c>
      <c r="G1468">
        <v>9</v>
      </c>
      <c r="H1468" s="4">
        <v>6</v>
      </c>
      <c r="I1468" t="s">
        <v>46</v>
      </c>
      <c r="J1468" t="s">
        <v>33</v>
      </c>
      <c r="L1468">
        <f t="shared" si="44"/>
        <v>2021</v>
      </c>
      <c r="M1468" t="str">
        <f t="shared" si="45"/>
        <v>COVID Period</v>
      </c>
    </row>
    <row r="1469" spans="1:13" x14ac:dyDescent="0.25">
      <c r="A1469" s="2">
        <v>44256</v>
      </c>
      <c r="B1469" t="s">
        <v>44</v>
      </c>
      <c r="C1469">
        <v>0</v>
      </c>
      <c r="D1469" s="3">
        <v>4.92</v>
      </c>
      <c r="E1469" s="3">
        <v>0</v>
      </c>
      <c r="F1469">
        <v>3</v>
      </c>
      <c r="G1469">
        <v>4</v>
      </c>
      <c r="H1469" s="4">
        <v>2.9</v>
      </c>
      <c r="I1469" t="s">
        <v>46</v>
      </c>
      <c r="J1469" t="s">
        <v>33</v>
      </c>
      <c r="K1469" t="s">
        <v>47</v>
      </c>
      <c r="L1469">
        <f t="shared" si="44"/>
        <v>2021</v>
      </c>
      <c r="M1469" t="str">
        <f t="shared" si="45"/>
        <v>COVID Period</v>
      </c>
    </row>
    <row r="1470" spans="1:13" x14ac:dyDescent="0.25">
      <c r="A1470" s="2">
        <v>44256</v>
      </c>
      <c r="B1470" t="s">
        <v>45</v>
      </c>
      <c r="C1470">
        <v>0</v>
      </c>
      <c r="D1470" s="3">
        <v>15.7</v>
      </c>
      <c r="E1470" s="3">
        <v>0</v>
      </c>
      <c r="F1470">
        <v>3</v>
      </c>
      <c r="G1470">
        <v>3</v>
      </c>
      <c r="H1470" s="4">
        <v>1</v>
      </c>
      <c r="I1470" t="s">
        <v>46</v>
      </c>
      <c r="J1470" t="s">
        <v>33</v>
      </c>
      <c r="L1470">
        <f t="shared" si="44"/>
        <v>2021</v>
      </c>
      <c r="M1470" t="str">
        <f t="shared" si="45"/>
        <v>COVID Period</v>
      </c>
    </row>
    <row r="1471" spans="1:13" x14ac:dyDescent="0.25">
      <c r="A1471" s="2">
        <v>44263</v>
      </c>
      <c r="B1471" t="s">
        <v>32</v>
      </c>
      <c r="C1471">
        <v>21</v>
      </c>
      <c r="D1471" s="3">
        <v>6.57</v>
      </c>
      <c r="E1471" s="3">
        <v>137.97</v>
      </c>
      <c r="F1471">
        <v>26</v>
      </c>
      <c r="G1471">
        <v>6</v>
      </c>
      <c r="H1471" s="4">
        <v>0.3</v>
      </c>
      <c r="I1471" t="s">
        <v>33</v>
      </c>
      <c r="J1471" t="s">
        <v>33</v>
      </c>
      <c r="L1471">
        <f t="shared" si="44"/>
        <v>2021</v>
      </c>
      <c r="M1471" t="str">
        <f t="shared" si="45"/>
        <v>COVID Period</v>
      </c>
    </row>
    <row r="1472" spans="1:13" x14ac:dyDescent="0.25">
      <c r="A1472" s="2">
        <v>44263</v>
      </c>
      <c r="B1472" t="s">
        <v>34</v>
      </c>
      <c r="C1472">
        <v>19</v>
      </c>
      <c r="D1472" s="3">
        <v>7.23</v>
      </c>
      <c r="E1472" s="3">
        <v>137.37</v>
      </c>
      <c r="F1472">
        <v>27</v>
      </c>
      <c r="G1472">
        <v>9</v>
      </c>
      <c r="H1472" s="4">
        <v>1.9</v>
      </c>
      <c r="I1472" t="s">
        <v>33</v>
      </c>
      <c r="J1472" t="s">
        <v>33</v>
      </c>
      <c r="L1472">
        <f t="shared" si="44"/>
        <v>2021</v>
      </c>
      <c r="M1472" t="str">
        <f t="shared" si="45"/>
        <v>COVID Period</v>
      </c>
    </row>
    <row r="1473" spans="1:13" x14ac:dyDescent="0.25">
      <c r="A1473" s="2">
        <v>44263</v>
      </c>
      <c r="B1473" t="s">
        <v>35</v>
      </c>
      <c r="C1473">
        <v>16</v>
      </c>
      <c r="D1473" s="3">
        <v>5.77</v>
      </c>
      <c r="E1473" s="3">
        <v>92.32</v>
      </c>
      <c r="F1473">
        <v>18</v>
      </c>
      <c r="G1473">
        <v>4</v>
      </c>
      <c r="H1473" s="4">
        <v>0.7</v>
      </c>
      <c r="I1473" t="s">
        <v>33</v>
      </c>
      <c r="J1473" t="s">
        <v>33</v>
      </c>
      <c r="L1473">
        <f t="shared" si="44"/>
        <v>2021</v>
      </c>
      <c r="M1473" t="str">
        <f t="shared" si="45"/>
        <v>COVID Period</v>
      </c>
    </row>
    <row r="1474" spans="1:13" x14ac:dyDescent="0.25">
      <c r="A1474" s="2">
        <v>44263</v>
      </c>
      <c r="B1474" t="s">
        <v>36</v>
      </c>
      <c r="C1474">
        <v>14</v>
      </c>
      <c r="D1474" s="3">
        <v>5.97</v>
      </c>
      <c r="E1474" s="3">
        <v>83.58</v>
      </c>
      <c r="F1474">
        <v>19</v>
      </c>
      <c r="G1474">
        <v>8</v>
      </c>
      <c r="H1474" s="4">
        <v>1.2</v>
      </c>
      <c r="I1474" t="s">
        <v>33</v>
      </c>
      <c r="J1474" t="s">
        <v>33</v>
      </c>
      <c r="L1474">
        <f t="shared" ref="L1474:L1537" si="46">YEAR(A1474)</f>
        <v>2021</v>
      </c>
      <c r="M1474" t="str">
        <f t="shared" ref="M1474:M1537" si="47">IF(L1474=2019,"Pre-COVID","COVID Period")</f>
        <v>COVID Period</v>
      </c>
    </row>
    <row r="1475" spans="1:13" x14ac:dyDescent="0.25">
      <c r="A1475" s="2">
        <v>44263</v>
      </c>
      <c r="B1475" t="s">
        <v>37</v>
      </c>
      <c r="C1475">
        <v>31</v>
      </c>
      <c r="D1475" s="3">
        <v>3.2</v>
      </c>
      <c r="E1475" s="3">
        <v>99.2</v>
      </c>
      <c r="F1475">
        <v>33</v>
      </c>
      <c r="G1475">
        <v>5</v>
      </c>
      <c r="H1475" s="4">
        <v>1.5</v>
      </c>
      <c r="I1475" t="s">
        <v>33</v>
      </c>
      <c r="J1475" t="s">
        <v>33</v>
      </c>
      <c r="L1475">
        <f t="shared" si="46"/>
        <v>2021</v>
      </c>
      <c r="M1475" t="str">
        <f t="shared" si="47"/>
        <v>COVID Period</v>
      </c>
    </row>
    <row r="1476" spans="1:13" x14ac:dyDescent="0.25">
      <c r="A1476" s="2">
        <v>44263</v>
      </c>
      <c r="B1476" t="s">
        <v>38</v>
      </c>
      <c r="C1476">
        <v>11</v>
      </c>
      <c r="D1476" s="3">
        <v>8.74</v>
      </c>
      <c r="E1476" s="3">
        <v>96.14</v>
      </c>
      <c r="F1476">
        <v>14</v>
      </c>
      <c r="G1476">
        <v>5</v>
      </c>
      <c r="H1476" s="4">
        <v>1.2</v>
      </c>
      <c r="I1476" t="s">
        <v>33</v>
      </c>
      <c r="J1476" t="s">
        <v>33</v>
      </c>
      <c r="L1476">
        <f t="shared" si="46"/>
        <v>2021</v>
      </c>
      <c r="M1476" t="str">
        <f t="shared" si="47"/>
        <v>COVID Period</v>
      </c>
    </row>
    <row r="1477" spans="1:13" x14ac:dyDescent="0.25">
      <c r="A1477" s="2">
        <v>44263</v>
      </c>
      <c r="B1477" t="s">
        <v>39</v>
      </c>
      <c r="C1477">
        <v>28</v>
      </c>
      <c r="D1477" s="3">
        <v>11.23</v>
      </c>
      <c r="E1477" s="3">
        <v>314.44</v>
      </c>
      <c r="F1477">
        <v>40</v>
      </c>
      <c r="G1477">
        <v>16</v>
      </c>
      <c r="H1477" s="4">
        <v>2.6</v>
      </c>
      <c r="I1477" t="s">
        <v>46</v>
      </c>
      <c r="J1477" t="s">
        <v>33</v>
      </c>
      <c r="K1477" t="s">
        <v>48</v>
      </c>
      <c r="L1477">
        <f t="shared" si="46"/>
        <v>2021</v>
      </c>
      <c r="M1477" t="str">
        <f t="shared" si="47"/>
        <v>COVID Period</v>
      </c>
    </row>
    <row r="1478" spans="1:13" x14ac:dyDescent="0.25">
      <c r="A1478" s="2">
        <v>44263</v>
      </c>
      <c r="B1478" t="s">
        <v>40</v>
      </c>
      <c r="C1478">
        <v>36</v>
      </c>
      <c r="D1478" s="3">
        <v>0.67</v>
      </c>
      <c r="E1478" s="3">
        <v>24.12</v>
      </c>
      <c r="F1478">
        <v>49</v>
      </c>
      <c r="G1478">
        <v>18</v>
      </c>
      <c r="H1478" s="4">
        <v>6.5</v>
      </c>
      <c r="I1478" t="s">
        <v>46</v>
      </c>
      <c r="J1478" t="s">
        <v>33</v>
      </c>
      <c r="K1478" t="s">
        <v>47</v>
      </c>
      <c r="L1478">
        <f t="shared" si="46"/>
        <v>2021</v>
      </c>
      <c r="M1478" t="str">
        <f t="shared" si="47"/>
        <v>COVID Period</v>
      </c>
    </row>
    <row r="1479" spans="1:13" x14ac:dyDescent="0.25">
      <c r="A1479" s="2">
        <v>44263</v>
      </c>
      <c r="B1479" t="s">
        <v>41</v>
      </c>
      <c r="C1479">
        <v>25</v>
      </c>
      <c r="D1479" s="3">
        <v>1.4</v>
      </c>
      <c r="E1479" s="3">
        <v>35</v>
      </c>
      <c r="F1479">
        <v>28</v>
      </c>
      <c r="G1479">
        <v>4</v>
      </c>
      <c r="H1479" s="4">
        <v>2.7</v>
      </c>
      <c r="I1479" t="s">
        <v>46</v>
      </c>
      <c r="J1479" t="s">
        <v>33</v>
      </c>
      <c r="K1479" t="s">
        <v>47</v>
      </c>
      <c r="L1479">
        <f t="shared" si="46"/>
        <v>2021</v>
      </c>
      <c r="M1479" t="str">
        <f t="shared" si="47"/>
        <v>COVID Period</v>
      </c>
    </row>
    <row r="1480" spans="1:13" x14ac:dyDescent="0.25">
      <c r="A1480" s="2">
        <v>44263</v>
      </c>
      <c r="B1480" t="s">
        <v>42</v>
      </c>
      <c r="C1480">
        <v>39</v>
      </c>
      <c r="D1480" s="3">
        <v>4.18</v>
      </c>
      <c r="E1480" s="3">
        <v>163.02000000000001</v>
      </c>
      <c r="F1480">
        <v>63</v>
      </c>
      <c r="G1480">
        <v>29</v>
      </c>
      <c r="H1480" s="4">
        <v>2.7</v>
      </c>
      <c r="I1480" t="s">
        <v>46</v>
      </c>
      <c r="J1480" t="s">
        <v>33</v>
      </c>
      <c r="K1480" t="s">
        <v>47</v>
      </c>
      <c r="L1480">
        <f t="shared" si="46"/>
        <v>2021</v>
      </c>
      <c r="M1480" t="str">
        <f t="shared" si="47"/>
        <v>COVID Period</v>
      </c>
    </row>
    <row r="1481" spans="1:13" x14ac:dyDescent="0.25">
      <c r="A1481" s="2">
        <v>44263</v>
      </c>
      <c r="B1481" t="s">
        <v>43</v>
      </c>
      <c r="C1481">
        <v>19</v>
      </c>
      <c r="D1481" s="3">
        <v>5.45</v>
      </c>
      <c r="E1481" s="3">
        <v>103.55</v>
      </c>
      <c r="F1481">
        <v>23</v>
      </c>
      <c r="G1481">
        <v>7</v>
      </c>
      <c r="H1481" s="4">
        <v>2.7</v>
      </c>
      <c r="I1481" t="s">
        <v>46</v>
      </c>
      <c r="J1481" t="s">
        <v>33</v>
      </c>
      <c r="L1481">
        <f t="shared" si="46"/>
        <v>2021</v>
      </c>
      <c r="M1481" t="str">
        <f t="shared" si="47"/>
        <v>COVID Period</v>
      </c>
    </row>
    <row r="1482" spans="1:13" x14ac:dyDescent="0.25">
      <c r="A1482" s="2">
        <v>44263</v>
      </c>
      <c r="B1482" t="s">
        <v>44</v>
      </c>
      <c r="C1482">
        <v>0</v>
      </c>
      <c r="D1482" s="3">
        <v>4.6399999999999997</v>
      </c>
      <c r="E1482" s="3">
        <v>0</v>
      </c>
      <c r="F1482">
        <v>3</v>
      </c>
      <c r="G1482">
        <v>3</v>
      </c>
      <c r="H1482" s="4">
        <v>2.9</v>
      </c>
      <c r="I1482" t="s">
        <v>46</v>
      </c>
      <c r="J1482" t="s">
        <v>33</v>
      </c>
      <c r="K1482" t="s">
        <v>47</v>
      </c>
      <c r="L1482">
        <f t="shared" si="46"/>
        <v>2021</v>
      </c>
      <c r="M1482" t="str">
        <f t="shared" si="47"/>
        <v>COVID Period</v>
      </c>
    </row>
    <row r="1483" spans="1:13" x14ac:dyDescent="0.25">
      <c r="A1483" s="2">
        <v>44263</v>
      </c>
      <c r="B1483" t="s">
        <v>45</v>
      </c>
      <c r="C1483">
        <v>0</v>
      </c>
      <c r="D1483" s="3">
        <v>14.72</v>
      </c>
      <c r="E1483" s="3">
        <v>0</v>
      </c>
      <c r="F1483">
        <v>3</v>
      </c>
      <c r="G1483">
        <v>3</v>
      </c>
      <c r="H1483" s="4">
        <v>3.2</v>
      </c>
      <c r="I1483" t="s">
        <v>46</v>
      </c>
      <c r="J1483" t="s">
        <v>33</v>
      </c>
      <c r="L1483">
        <f t="shared" si="46"/>
        <v>2021</v>
      </c>
      <c r="M1483" t="str">
        <f t="shared" si="47"/>
        <v>COVID Period</v>
      </c>
    </row>
    <row r="1484" spans="1:13" x14ac:dyDescent="0.25">
      <c r="A1484" s="2">
        <v>44270</v>
      </c>
      <c r="B1484" t="s">
        <v>32</v>
      </c>
      <c r="C1484">
        <v>19</v>
      </c>
      <c r="D1484" s="3">
        <v>6.57</v>
      </c>
      <c r="E1484" s="3">
        <v>124.83</v>
      </c>
      <c r="F1484">
        <v>30</v>
      </c>
      <c r="G1484">
        <v>13</v>
      </c>
      <c r="H1484" s="4">
        <v>1.3</v>
      </c>
      <c r="I1484" t="s">
        <v>33</v>
      </c>
      <c r="J1484" t="s">
        <v>33</v>
      </c>
      <c r="L1484">
        <f t="shared" si="46"/>
        <v>2021</v>
      </c>
      <c r="M1484" t="str">
        <f t="shared" si="47"/>
        <v>COVID Period</v>
      </c>
    </row>
    <row r="1485" spans="1:13" x14ac:dyDescent="0.25">
      <c r="A1485" s="2">
        <v>44270</v>
      </c>
      <c r="B1485" t="s">
        <v>34</v>
      </c>
      <c r="C1485">
        <v>18</v>
      </c>
      <c r="D1485" s="3">
        <v>7.38</v>
      </c>
      <c r="E1485" s="3">
        <v>132.84</v>
      </c>
      <c r="F1485">
        <v>21</v>
      </c>
      <c r="G1485">
        <v>4</v>
      </c>
      <c r="H1485" s="4">
        <v>2.1</v>
      </c>
      <c r="I1485" t="s">
        <v>33</v>
      </c>
      <c r="J1485" t="s">
        <v>33</v>
      </c>
      <c r="L1485">
        <f t="shared" si="46"/>
        <v>2021</v>
      </c>
      <c r="M1485" t="str">
        <f t="shared" si="47"/>
        <v>COVID Period</v>
      </c>
    </row>
    <row r="1486" spans="1:13" x14ac:dyDescent="0.25">
      <c r="A1486" s="2">
        <v>44270</v>
      </c>
      <c r="B1486" t="s">
        <v>35</v>
      </c>
      <c r="C1486">
        <v>16</v>
      </c>
      <c r="D1486" s="3">
        <v>6.19</v>
      </c>
      <c r="E1486" s="3">
        <v>99.04</v>
      </c>
      <c r="F1486">
        <v>24</v>
      </c>
      <c r="G1486">
        <v>10</v>
      </c>
      <c r="H1486" s="4">
        <v>1.7</v>
      </c>
      <c r="I1486" t="s">
        <v>33</v>
      </c>
      <c r="J1486" t="s">
        <v>33</v>
      </c>
      <c r="L1486">
        <f t="shared" si="46"/>
        <v>2021</v>
      </c>
      <c r="M1486" t="str">
        <f t="shared" si="47"/>
        <v>COVID Period</v>
      </c>
    </row>
    <row r="1487" spans="1:13" x14ac:dyDescent="0.25">
      <c r="A1487" s="2">
        <v>44270</v>
      </c>
      <c r="B1487" t="s">
        <v>36</v>
      </c>
      <c r="C1487">
        <v>14</v>
      </c>
      <c r="D1487" s="3">
        <v>6.34</v>
      </c>
      <c r="E1487" s="3">
        <v>88.76</v>
      </c>
      <c r="F1487">
        <v>14</v>
      </c>
      <c r="G1487">
        <v>1</v>
      </c>
      <c r="H1487" s="4">
        <v>1</v>
      </c>
      <c r="I1487" t="s">
        <v>33</v>
      </c>
      <c r="J1487" t="s">
        <v>33</v>
      </c>
      <c r="L1487">
        <f t="shared" si="46"/>
        <v>2021</v>
      </c>
      <c r="M1487" t="str">
        <f t="shared" si="47"/>
        <v>COVID Period</v>
      </c>
    </row>
    <row r="1488" spans="1:13" x14ac:dyDescent="0.25">
      <c r="A1488" s="2">
        <v>44270</v>
      </c>
      <c r="B1488" t="s">
        <v>37</v>
      </c>
      <c r="C1488">
        <v>41</v>
      </c>
      <c r="D1488" s="3">
        <v>3.23</v>
      </c>
      <c r="E1488" s="3">
        <v>132.43</v>
      </c>
      <c r="F1488">
        <v>63</v>
      </c>
      <c r="G1488">
        <v>27</v>
      </c>
      <c r="H1488" s="4">
        <v>2.2000000000000002</v>
      </c>
      <c r="I1488" t="s">
        <v>33</v>
      </c>
      <c r="J1488" t="s">
        <v>33</v>
      </c>
      <c r="L1488">
        <f t="shared" si="46"/>
        <v>2021</v>
      </c>
      <c r="M1488" t="str">
        <f t="shared" si="47"/>
        <v>COVID Period</v>
      </c>
    </row>
    <row r="1489" spans="1:13" x14ac:dyDescent="0.25">
      <c r="A1489" s="2">
        <v>44270</v>
      </c>
      <c r="B1489" t="s">
        <v>38</v>
      </c>
      <c r="C1489">
        <v>20</v>
      </c>
      <c r="D1489" s="3">
        <v>8.5399999999999991</v>
      </c>
      <c r="E1489" s="3">
        <v>170.8</v>
      </c>
      <c r="F1489">
        <v>27</v>
      </c>
      <c r="G1489">
        <v>12</v>
      </c>
      <c r="H1489" s="4">
        <v>1.2</v>
      </c>
      <c r="I1489" t="s">
        <v>33</v>
      </c>
      <c r="J1489" t="s">
        <v>33</v>
      </c>
      <c r="L1489">
        <f t="shared" si="46"/>
        <v>2021</v>
      </c>
      <c r="M1489" t="str">
        <f t="shared" si="47"/>
        <v>COVID Period</v>
      </c>
    </row>
    <row r="1490" spans="1:13" x14ac:dyDescent="0.25">
      <c r="A1490" s="2">
        <v>44270</v>
      </c>
      <c r="B1490" t="s">
        <v>39</v>
      </c>
      <c r="C1490">
        <v>36</v>
      </c>
      <c r="D1490" s="3">
        <v>11.25</v>
      </c>
      <c r="E1490" s="3">
        <v>405</v>
      </c>
      <c r="F1490">
        <v>43</v>
      </c>
      <c r="G1490">
        <v>11</v>
      </c>
      <c r="H1490" s="4">
        <v>0</v>
      </c>
      <c r="I1490" t="s">
        <v>46</v>
      </c>
      <c r="J1490" t="s">
        <v>33</v>
      </c>
      <c r="K1490" t="s">
        <v>48</v>
      </c>
      <c r="L1490">
        <f t="shared" si="46"/>
        <v>2021</v>
      </c>
      <c r="M1490" t="str">
        <f t="shared" si="47"/>
        <v>COVID Period</v>
      </c>
    </row>
    <row r="1491" spans="1:13" x14ac:dyDescent="0.25">
      <c r="A1491" s="2">
        <v>44270</v>
      </c>
      <c r="B1491" t="s">
        <v>40</v>
      </c>
      <c r="C1491">
        <v>40</v>
      </c>
      <c r="D1491" s="3">
        <v>0.63</v>
      </c>
      <c r="E1491" s="3">
        <v>25.2</v>
      </c>
      <c r="F1491">
        <v>63</v>
      </c>
      <c r="G1491">
        <v>28</v>
      </c>
      <c r="H1491" s="4">
        <v>5.6</v>
      </c>
      <c r="I1491" t="s">
        <v>46</v>
      </c>
      <c r="J1491" t="s">
        <v>33</v>
      </c>
      <c r="K1491" t="s">
        <v>47</v>
      </c>
      <c r="L1491">
        <f t="shared" si="46"/>
        <v>2021</v>
      </c>
      <c r="M1491" t="str">
        <f t="shared" si="47"/>
        <v>COVID Period</v>
      </c>
    </row>
    <row r="1492" spans="1:13" x14ac:dyDescent="0.25">
      <c r="A1492" s="2">
        <v>44270</v>
      </c>
      <c r="B1492" t="s">
        <v>41</v>
      </c>
      <c r="C1492">
        <v>25</v>
      </c>
      <c r="D1492" s="3">
        <v>1.38</v>
      </c>
      <c r="E1492" s="3">
        <v>34.5</v>
      </c>
      <c r="F1492">
        <v>27</v>
      </c>
      <c r="G1492">
        <v>6</v>
      </c>
      <c r="H1492" s="4">
        <v>4.2</v>
      </c>
      <c r="I1492" t="s">
        <v>46</v>
      </c>
      <c r="J1492" t="s">
        <v>33</v>
      </c>
      <c r="K1492" t="s">
        <v>47</v>
      </c>
      <c r="L1492">
        <f t="shared" si="46"/>
        <v>2021</v>
      </c>
      <c r="M1492" t="str">
        <f t="shared" si="47"/>
        <v>COVID Period</v>
      </c>
    </row>
    <row r="1493" spans="1:13" x14ac:dyDescent="0.25">
      <c r="A1493" s="2">
        <v>44270</v>
      </c>
      <c r="B1493" t="s">
        <v>42</v>
      </c>
      <c r="C1493">
        <v>46</v>
      </c>
      <c r="D1493" s="3">
        <v>4.07</v>
      </c>
      <c r="E1493" s="3">
        <v>187.22</v>
      </c>
      <c r="F1493">
        <v>50</v>
      </c>
      <c r="G1493">
        <v>12</v>
      </c>
      <c r="H1493" s="4">
        <v>5.3</v>
      </c>
      <c r="I1493" t="s">
        <v>46</v>
      </c>
      <c r="J1493" t="s">
        <v>33</v>
      </c>
      <c r="K1493" t="s">
        <v>47</v>
      </c>
      <c r="L1493">
        <f t="shared" si="46"/>
        <v>2021</v>
      </c>
      <c r="M1493" t="str">
        <f t="shared" si="47"/>
        <v>COVID Period</v>
      </c>
    </row>
    <row r="1494" spans="1:13" x14ac:dyDescent="0.25">
      <c r="A1494" s="2">
        <v>44270</v>
      </c>
      <c r="B1494" t="s">
        <v>43</v>
      </c>
      <c r="C1494">
        <v>24</v>
      </c>
      <c r="D1494" s="3">
        <v>5.32</v>
      </c>
      <c r="E1494" s="3">
        <v>127.68</v>
      </c>
      <c r="F1494">
        <v>34</v>
      </c>
      <c r="G1494">
        <v>13</v>
      </c>
      <c r="H1494" s="4">
        <v>3</v>
      </c>
      <c r="I1494" t="s">
        <v>46</v>
      </c>
      <c r="J1494" t="s">
        <v>33</v>
      </c>
      <c r="L1494">
        <f t="shared" si="46"/>
        <v>2021</v>
      </c>
      <c r="M1494" t="str">
        <f t="shared" si="47"/>
        <v>COVID Period</v>
      </c>
    </row>
    <row r="1495" spans="1:13" x14ac:dyDescent="0.25">
      <c r="A1495" s="2">
        <v>44270</v>
      </c>
      <c r="B1495" t="s">
        <v>44</v>
      </c>
      <c r="C1495">
        <v>0</v>
      </c>
      <c r="D1495" s="3">
        <v>4.71</v>
      </c>
      <c r="E1495" s="3">
        <v>0</v>
      </c>
      <c r="F1495">
        <v>3</v>
      </c>
      <c r="G1495">
        <v>3</v>
      </c>
      <c r="H1495" s="4">
        <v>3.3</v>
      </c>
      <c r="I1495" t="s">
        <v>46</v>
      </c>
      <c r="J1495" t="s">
        <v>33</v>
      </c>
      <c r="K1495" t="s">
        <v>47</v>
      </c>
      <c r="L1495">
        <f t="shared" si="46"/>
        <v>2021</v>
      </c>
      <c r="M1495" t="str">
        <f t="shared" si="47"/>
        <v>COVID Period</v>
      </c>
    </row>
    <row r="1496" spans="1:13" x14ac:dyDescent="0.25">
      <c r="A1496" s="2">
        <v>44270</v>
      </c>
      <c r="B1496" t="s">
        <v>45</v>
      </c>
      <c r="C1496">
        <v>1</v>
      </c>
      <c r="D1496" s="3">
        <v>14.78</v>
      </c>
      <c r="E1496" s="3">
        <v>14.78</v>
      </c>
      <c r="F1496">
        <v>3</v>
      </c>
      <c r="G1496">
        <v>2</v>
      </c>
      <c r="H1496" s="4">
        <v>3.3</v>
      </c>
      <c r="I1496" t="s">
        <v>46</v>
      </c>
      <c r="J1496" t="s">
        <v>33</v>
      </c>
      <c r="L1496">
        <f t="shared" si="46"/>
        <v>2021</v>
      </c>
      <c r="M1496" t="str">
        <f t="shared" si="47"/>
        <v>COVID Period</v>
      </c>
    </row>
    <row r="1497" spans="1:13" x14ac:dyDescent="0.25">
      <c r="A1497" s="2">
        <v>44277</v>
      </c>
      <c r="B1497" t="s">
        <v>32</v>
      </c>
      <c r="C1497">
        <v>32</v>
      </c>
      <c r="D1497" s="3">
        <v>7.08</v>
      </c>
      <c r="E1497" s="3">
        <v>226.56</v>
      </c>
      <c r="F1497">
        <v>41</v>
      </c>
      <c r="G1497">
        <v>15</v>
      </c>
      <c r="H1497" s="4">
        <v>1.9</v>
      </c>
      <c r="I1497" t="s">
        <v>33</v>
      </c>
      <c r="J1497" t="s">
        <v>33</v>
      </c>
      <c r="L1497">
        <f t="shared" si="46"/>
        <v>2021</v>
      </c>
      <c r="M1497" t="str">
        <f t="shared" si="47"/>
        <v>COVID Period</v>
      </c>
    </row>
    <row r="1498" spans="1:13" x14ac:dyDescent="0.25">
      <c r="A1498" s="2">
        <v>44277</v>
      </c>
      <c r="B1498" t="s">
        <v>34</v>
      </c>
      <c r="C1498">
        <v>20</v>
      </c>
      <c r="D1498" s="3">
        <v>7.32</v>
      </c>
      <c r="E1498" s="3">
        <v>146.4</v>
      </c>
      <c r="F1498">
        <v>25</v>
      </c>
      <c r="G1498">
        <v>6</v>
      </c>
      <c r="H1498" s="4">
        <v>0.9</v>
      </c>
      <c r="I1498" t="s">
        <v>33</v>
      </c>
      <c r="J1498" t="s">
        <v>33</v>
      </c>
      <c r="L1498">
        <f t="shared" si="46"/>
        <v>2021</v>
      </c>
      <c r="M1498" t="str">
        <f t="shared" si="47"/>
        <v>COVID Period</v>
      </c>
    </row>
    <row r="1499" spans="1:13" x14ac:dyDescent="0.25">
      <c r="A1499" s="2">
        <v>44277</v>
      </c>
      <c r="B1499" t="s">
        <v>35</v>
      </c>
      <c r="C1499">
        <v>14</v>
      </c>
      <c r="D1499" s="3">
        <v>5.9</v>
      </c>
      <c r="E1499" s="3">
        <v>82.6</v>
      </c>
      <c r="F1499">
        <v>15</v>
      </c>
      <c r="G1499">
        <v>3</v>
      </c>
      <c r="H1499" s="4">
        <v>1.5</v>
      </c>
      <c r="I1499" t="s">
        <v>33</v>
      </c>
      <c r="J1499" t="s">
        <v>33</v>
      </c>
      <c r="L1499">
        <f t="shared" si="46"/>
        <v>2021</v>
      </c>
      <c r="M1499" t="str">
        <f t="shared" si="47"/>
        <v>COVID Period</v>
      </c>
    </row>
    <row r="1500" spans="1:13" x14ac:dyDescent="0.25">
      <c r="A1500" s="2">
        <v>44277</v>
      </c>
      <c r="B1500" t="s">
        <v>36</v>
      </c>
      <c r="C1500">
        <v>13</v>
      </c>
      <c r="D1500" s="3">
        <v>6.18</v>
      </c>
      <c r="E1500" s="3">
        <v>80.34</v>
      </c>
      <c r="F1500">
        <v>18</v>
      </c>
      <c r="G1500">
        <v>7</v>
      </c>
      <c r="H1500" s="4">
        <v>1</v>
      </c>
      <c r="I1500" t="s">
        <v>33</v>
      </c>
      <c r="J1500" t="s">
        <v>33</v>
      </c>
      <c r="L1500">
        <f t="shared" si="46"/>
        <v>2021</v>
      </c>
      <c r="M1500" t="str">
        <f t="shared" si="47"/>
        <v>COVID Period</v>
      </c>
    </row>
    <row r="1501" spans="1:13" x14ac:dyDescent="0.25">
      <c r="A1501" s="2">
        <v>44277</v>
      </c>
      <c r="B1501" t="s">
        <v>37</v>
      </c>
      <c r="C1501">
        <v>26</v>
      </c>
      <c r="D1501" s="3">
        <v>3.1</v>
      </c>
      <c r="E1501" s="3">
        <v>80.599999999999994</v>
      </c>
      <c r="F1501">
        <v>28</v>
      </c>
      <c r="G1501">
        <v>7</v>
      </c>
      <c r="H1501" s="4">
        <v>2.2999999999999998</v>
      </c>
      <c r="I1501" t="s">
        <v>33</v>
      </c>
      <c r="J1501" t="s">
        <v>33</v>
      </c>
      <c r="L1501">
        <f t="shared" si="46"/>
        <v>2021</v>
      </c>
      <c r="M1501" t="str">
        <f t="shared" si="47"/>
        <v>COVID Period</v>
      </c>
    </row>
    <row r="1502" spans="1:13" x14ac:dyDescent="0.25">
      <c r="A1502" s="2">
        <v>44277</v>
      </c>
      <c r="B1502" t="s">
        <v>38</v>
      </c>
      <c r="C1502">
        <v>16</v>
      </c>
      <c r="D1502" s="3">
        <v>8.3000000000000007</v>
      </c>
      <c r="E1502" s="3">
        <v>132.80000000000001</v>
      </c>
      <c r="F1502">
        <v>17</v>
      </c>
      <c r="G1502">
        <v>4</v>
      </c>
      <c r="H1502" s="4">
        <v>1.3</v>
      </c>
      <c r="I1502" t="s">
        <v>33</v>
      </c>
      <c r="J1502" t="s">
        <v>33</v>
      </c>
      <c r="L1502">
        <f t="shared" si="46"/>
        <v>2021</v>
      </c>
      <c r="M1502" t="str">
        <f t="shared" si="47"/>
        <v>COVID Period</v>
      </c>
    </row>
    <row r="1503" spans="1:13" x14ac:dyDescent="0.25">
      <c r="A1503" s="2">
        <v>44277</v>
      </c>
      <c r="B1503" t="s">
        <v>39</v>
      </c>
      <c r="C1503">
        <v>31</v>
      </c>
      <c r="D1503" s="3">
        <v>11.16</v>
      </c>
      <c r="E1503" s="3">
        <v>345.96</v>
      </c>
      <c r="F1503">
        <v>40</v>
      </c>
      <c r="G1503">
        <v>15</v>
      </c>
      <c r="H1503" s="4">
        <v>1.5</v>
      </c>
      <c r="I1503" t="s">
        <v>46</v>
      </c>
      <c r="J1503" t="s">
        <v>33</v>
      </c>
      <c r="K1503" t="s">
        <v>48</v>
      </c>
      <c r="L1503">
        <f t="shared" si="46"/>
        <v>2021</v>
      </c>
      <c r="M1503" t="str">
        <f t="shared" si="47"/>
        <v>COVID Period</v>
      </c>
    </row>
    <row r="1504" spans="1:13" x14ac:dyDescent="0.25">
      <c r="A1504" s="2">
        <v>44277</v>
      </c>
      <c r="B1504" t="s">
        <v>40</v>
      </c>
      <c r="C1504">
        <v>30</v>
      </c>
      <c r="D1504" s="3">
        <v>0.67</v>
      </c>
      <c r="E1504" s="3">
        <v>20.100000000000001</v>
      </c>
      <c r="F1504">
        <v>31</v>
      </c>
      <c r="G1504">
        <v>6</v>
      </c>
      <c r="H1504" s="4">
        <v>4</v>
      </c>
      <c r="I1504" t="s">
        <v>46</v>
      </c>
      <c r="J1504" t="s">
        <v>33</v>
      </c>
      <c r="K1504" t="s">
        <v>47</v>
      </c>
      <c r="L1504">
        <f t="shared" si="46"/>
        <v>2021</v>
      </c>
      <c r="M1504" t="str">
        <f t="shared" si="47"/>
        <v>COVID Period</v>
      </c>
    </row>
    <row r="1505" spans="1:13" x14ac:dyDescent="0.25">
      <c r="A1505" s="2">
        <v>44277</v>
      </c>
      <c r="B1505" t="s">
        <v>41</v>
      </c>
      <c r="C1505">
        <v>28</v>
      </c>
      <c r="D1505" s="3">
        <v>1.31</v>
      </c>
      <c r="E1505" s="3">
        <v>36.68</v>
      </c>
      <c r="F1505">
        <v>30</v>
      </c>
      <c r="G1505">
        <v>7</v>
      </c>
      <c r="H1505" s="4">
        <v>4.3</v>
      </c>
      <c r="I1505" t="s">
        <v>46</v>
      </c>
      <c r="J1505" t="s">
        <v>33</v>
      </c>
      <c r="K1505" t="s">
        <v>47</v>
      </c>
      <c r="L1505">
        <f t="shared" si="46"/>
        <v>2021</v>
      </c>
      <c r="M1505" t="str">
        <f t="shared" si="47"/>
        <v>COVID Period</v>
      </c>
    </row>
    <row r="1506" spans="1:13" x14ac:dyDescent="0.25">
      <c r="A1506" s="2">
        <v>44277</v>
      </c>
      <c r="B1506" t="s">
        <v>42</v>
      </c>
      <c r="C1506">
        <v>30</v>
      </c>
      <c r="D1506" s="3">
        <v>4.2300000000000004</v>
      </c>
      <c r="E1506" s="3">
        <v>126.9</v>
      </c>
      <c r="F1506">
        <v>44</v>
      </c>
      <c r="G1506">
        <v>15</v>
      </c>
      <c r="H1506" s="4">
        <v>4.5</v>
      </c>
      <c r="I1506" t="s">
        <v>46</v>
      </c>
      <c r="J1506" t="s">
        <v>33</v>
      </c>
      <c r="K1506" t="s">
        <v>47</v>
      </c>
      <c r="L1506">
        <f t="shared" si="46"/>
        <v>2021</v>
      </c>
      <c r="M1506" t="str">
        <f t="shared" si="47"/>
        <v>COVID Period</v>
      </c>
    </row>
    <row r="1507" spans="1:13" x14ac:dyDescent="0.25">
      <c r="A1507" s="2">
        <v>44277</v>
      </c>
      <c r="B1507" t="s">
        <v>43</v>
      </c>
      <c r="C1507">
        <v>25</v>
      </c>
      <c r="D1507" s="3">
        <v>5.49</v>
      </c>
      <c r="E1507" s="3">
        <v>137.25</v>
      </c>
      <c r="F1507">
        <v>33</v>
      </c>
      <c r="G1507">
        <v>10</v>
      </c>
      <c r="H1507" s="4">
        <v>3.7</v>
      </c>
      <c r="I1507" t="s">
        <v>46</v>
      </c>
      <c r="J1507" t="s">
        <v>33</v>
      </c>
      <c r="L1507">
        <f t="shared" si="46"/>
        <v>2021</v>
      </c>
      <c r="M1507" t="str">
        <f t="shared" si="47"/>
        <v>COVID Period</v>
      </c>
    </row>
    <row r="1508" spans="1:13" x14ac:dyDescent="0.25">
      <c r="A1508" s="2">
        <v>44277</v>
      </c>
      <c r="B1508" t="s">
        <v>44</v>
      </c>
      <c r="C1508">
        <v>0</v>
      </c>
      <c r="D1508" s="3">
        <v>4.95</v>
      </c>
      <c r="E1508" s="3">
        <v>0</v>
      </c>
      <c r="F1508">
        <v>3</v>
      </c>
      <c r="G1508">
        <v>3</v>
      </c>
      <c r="H1508" s="4">
        <v>3.5</v>
      </c>
      <c r="I1508" t="s">
        <v>46</v>
      </c>
      <c r="J1508" t="s">
        <v>33</v>
      </c>
      <c r="K1508" t="s">
        <v>47</v>
      </c>
      <c r="L1508">
        <f t="shared" si="46"/>
        <v>2021</v>
      </c>
      <c r="M1508" t="str">
        <f t="shared" si="47"/>
        <v>COVID Period</v>
      </c>
    </row>
    <row r="1509" spans="1:13" x14ac:dyDescent="0.25">
      <c r="A1509" s="2">
        <v>44277</v>
      </c>
      <c r="B1509" t="s">
        <v>45</v>
      </c>
      <c r="C1509">
        <v>0</v>
      </c>
      <c r="D1509" s="3">
        <v>15.68</v>
      </c>
      <c r="E1509" s="3">
        <v>0</v>
      </c>
      <c r="F1509">
        <v>3</v>
      </c>
      <c r="G1509">
        <v>3</v>
      </c>
      <c r="H1509" s="4">
        <v>2.8</v>
      </c>
      <c r="I1509" t="s">
        <v>46</v>
      </c>
      <c r="J1509" t="s">
        <v>33</v>
      </c>
      <c r="L1509">
        <f t="shared" si="46"/>
        <v>2021</v>
      </c>
      <c r="M1509" t="str">
        <f t="shared" si="47"/>
        <v>COVID Period</v>
      </c>
    </row>
    <row r="1510" spans="1:13" x14ac:dyDescent="0.25">
      <c r="A1510" s="2">
        <v>44284</v>
      </c>
      <c r="B1510" t="s">
        <v>32</v>
      </c>
      <c r="C1510">
        <v>25</v>
      </c>
      <c r="D1510" s="3">
        <v>6.96</v>
      </c>
      <c r="E1510" s="3">
        <v>174</v>
      </c>
      <c r="F1510">
        <v>41</v>
      </c>
      <c r="G1510">
        <v>17</v>
      </c>
      <c r="H1510" s="4">
        <v>2.4</v>
      </c>
      <c r="I1510" t="s">
        <v>33</v>
      </c>
      <c r="J1510" t="s">
        <v>33</v>
      </c>
      <c r="L1510">
        <f t="shared" si="46"/>
        <v>2021</v>
      </c>
      <c r="M1510" t="str">
        <f t="shared" si="47"/>
        <v>COVID Period</v>
      </c>
    </row>
    <row r="1511" spans="1:13" x14ac:dyDescent="0.25">
      <c r="A1511" s="2">
        <v>44284</v>
      </c>
      <c r="B1511" t="s">
        <v>34</v>
      </c>
      <c r="C1511">
        <v>13</v>
      </c>
      <c r="D1511" s="3">
        <v>7.13</v>
      </c>
      <c r="E1511" s="3">
        <v>92.69</v>
      </c>
      <c r="F1511">
        <v>15</v>
      </c>
      <c r="G1511">
        <v>3</v>
      </c>
      <c r="H1511" s="4">
        <v>2.7</v>
      </c>
      <c r="I1511" t="s">
        <v>33</v>
      </c>
      <c r="J1511" t="s">
        <v>33</v>
      </c>
      <c r="L1511">
        <f t="shared" si="46"/>
        <v>2021</v>
      </c>
      <c r="M1511" t="str">
        <f t="shared" si="47"/>
        <v>COVID Period</v>
      </c>
    </row>
    <row r="1512" spans="1:13" x14ac:dyDescent="0.25">
      <c r="A1512" s="2">
        <v>44284</v>
      </c>
      <c r="B1512" t="s">
        <v>35</v>
      </c>
      <c r="C1512">
        <v>17</v>
      </c>
      <c r="D1512" s="3">
        <v>5.89</v>
      </c>
      <c r="E1512" s="3">
        <v>100.13</v>
      </c>
      <c r="F1512">
        <v>18</v>
      </c>
      <c r="G1512">
        <v>3</v>
      </c>
      <c r="H1512" s="4">
        <v>1.3</v>
      </c>
      <c r="I1512" t="s">
        <v>33</v>
      </c>
      <c r="J1512" t="s">
        <v>33</v>
      </c>
      <c r="L1512">
        <f t="shared" si="46"/>
        <v>2021</v>
      </c>
      <c r="M1512" t="str">
        <f t="shared" si="47"/>
        <v>COVID Period</v>
      </c>
    </row>
    <row r="1513" spans="1:13" x14ac:dyDescent="0.25">
      <c r="A1513" s="2">
        <v>44284</v>
      </c>
      <c r="B1513" t="s">
        <v>36</v>
      </c>
      <c r="C1513">
        <v>13</v>
      </c>
      <c r="D1513" s="3">
        <v>6.19</v>
      </c>
      <c r="E1513" s="3">
        <v>80.47</v>
      </c>
      <c r="F1513">
        <v>15</v>
      </c>
      <c r="G1513">
        <v>3</v>
      </c>
      <c r="H1513" s="4">
        <v>1</v>
      </c>
      <c r="I1513" t="s">
        <v>33</v>
      </c>
      <c r="J1513" t="s">
        <v>33</v>
      </c>
      <c r="L1513">
        <f t="shared" si="46"/>
        <v>2021</v>
      </c>
      <c r="M1513" t="str">
        <f t="shared" si="47"/>
        <v>COVID Period</v>
      </c>
    </row>
    <row r="1514" spans="1:13" x14ac:dyDescent="0.25">
      <c r="A1514" s="2">
        <v>44284</v>
      </c>
      <c r="B1514" t="s">
        <v>37</v>
      </c>
      <c r="C1514">
        <v>28</v>
      </c>
      <c r="D1514" s="3">
        <v>3.24</v>
      </c>
      <c r="E1514" s="3">
        <v>90.72</v>
      </c>
      <c r="F1514">
        <v>39</v>
      </c>
      <c r="G1514">
        <v>13</v>
      </c>
      <c r="H1514" s="4">
        <v>1.8</v>
      </c>
      <c r="I1514" t="s">
        <v>33</v>
      </c>
      <c r="J1514" t="s">
        <v>33</v>
      </c>
      <c r="L1514">
        <f t="shared" si="46"/>
        <v>2021</v>
      </c>
      <c r="M1514" t="str">
        <f t="shared" si="47"/>
        <v>COVID Period</v>
      </c>
    </row>
    <row r="1515" spans="1:13" x14ac:dyDescent="0.25">
      <c r="A1515" s="2">
        <v>44284</v>
      </c>
      <c r="B1515" t="s">
        <v>38</v>
      </c>
      <c r="C1515">
        <v>18</v>
      </c>
      <c r="D1515" s="3">
        <v>8.69</v>
      </c>
      <c r="E1515" s="3">
        <v>156.41999999999999</v>
      </c>
      <c r="F1515">
        <v>24</v>
      </c>
      <c r="G1515">
        <v>10</v>
      </c>
      <c r="H1515" s="4">
        <v>1.2</v>
      </c>
      <c r="I1515" t="s">
        <v>33</v>
      </c>
      <c r="J1515" t="s">
        <v>33</v>
      </c>
      <c r="L1515">
        <f t="shared" si="46"/>
        <v>2021</v>
      </c>
      <c r="M1515" t="str">
        <f t="shared" si="47"/>
        <v>COVID Period</v>
      </c>
    </row>
    <row r="1516" spans="1:13" x14ac:dyDescent="0.25">
      <c r="A1516" s="2">
        <v>44284</v>
      </c>
      <c r="B1516" t="s">
        <v>39</v>
      </c>
      <c r="C1516">
        <v>33</v>
      </c>
      <c r="D1516" s="3">
        <v>11.34</v>
      </c>
      <c r="E1516" s="3">
        <v>374.22</v>
      </c>
      <c r="F1516">
        <v>41</v>
      </c>
      <c r="G1516">
        <v>15</v>
      </c>
      <c r="H1516" s="4">
        <v>1.5</v>
      </c>
      <c r="I1516" t="s">
        <v>46</v>
      </c>
      <c r="J1516" t="s">
        <v>33</v>
      </c>
      <c r="K1516" t="s">
        <v>48</v>
      </c>
      <c r="L1516">
        <f t="shared" si="46"/>
        <v>2021</v>
      </c>
      <c r="M1516" t="str">
        <f t="shared" si="47"/>
        <v>COVID Period</v>
      </c>
    </row>
    <row r="1517" spans="1:13" x14ac:dyDescent="0.25">
      <c r="A1517" s="2">
        <v>44284</v>
      </c>
      <c r="B1517" t="s">
        <v>40</v>
      </c>
      <c r="C1517">
        <v>36</v>
      </c>
      <c r="D1517" s="3">
        <v>0.66</v>
      </c>
      <c r="E1517" s="3">
        <v>23.76</v>
      </c>
      <c r="F1517">
        <v>41</v>
      </c>
      <c r="G1517">
        <v>11</v>
      </c>
      <c r="H1517" s="4">
        <v>3.2</v>
      </c>
      <c r="I1517" t="s">
        <v>46</v>
      </c>
      <c r="J1517" t="s">
        <v>33</v>
      </c>
      <c r="K1517" t="s">
        <v>47</v>
      </c>
      <c r="L1517">
        <f t="shared" si="46"/>
        <v>2021</v>
      </c>
      <c r="M1517" t="str">
        <f t="shared" si="47"/>
        <v>COVID Period</v>
      </c>
    </row>
    <row r="1518" spans="1:13" x14ac:dyDescent="0.25">
      <c r="A1518" s="2">
        <v>44284</v>
      </c>
      <c r="B1518" t="s">
        <v>41</v>
      </c>
      <c r="C1518">
        <v>29</v>
      </c>
      <c r="D1518" s="3">
        <v>1.36</v>
      </c>
      <c r="E1518" s="3">
        <v>39.44</v>
      </c>
      <c r="F1518">
        <v>44</v>
      </c>
      <c r="G1518">
        <v>16</v>
      </c>
      <c r="H1518" s="4">
        <v>3.6</v>
      </c>
      <c r="I1518" t="s">
        <v>46</v>
      </c>
      <c r="J1518" t="s">
        <v>33</v>
      </c>
      <c r="K1518" t="s">
        <v>47</v>
      </c>
      <c r="L1518">
        <f t="shared" si="46"/>
        <v>2021</v>
      </c>
      <c r="M1518" t="str">
        <f t="shared" si="47"/>
        <v>COVID Period</v>
      </c>
    </row>
    <row r="1519" spans="1:13" x14ac:dyDescent="0.25">
      <c r="A1519" s="2">
        <v>44284</v>
      </c>
      <c r="B1519" t="s">
        <v>42</v>
      </c>
      <c r="C1519">
        <v>38</v>
      </c>
      <c r="D1519" s="3">
        <v>4.12</v>
      </c>
      <c r="E1519" s="3">
        <v>156.56</v>
      </c>
      <c r="F1519">
        <v>46</v>
      </c>
      <c r="G1519">
        <v>15</v>
      </c>
      <c r="H1519" s="4">
        <v>3.8</v>
      </c>
      <c r="I1519" t="s">
        <v>46</v>
      </c>
      <c r="J1519" t="s">
        <v>33</v>
      </c>
      <c r="K1519" t="s">
        <v>47</v>
      </c>
      <c r="L1519">
        <f t="shared" si="46"/>
        <v>2021</v>
      </c>
      <c r="M1519" t="str">
        <f t="shared" si="47"/>
        <v>COVID Period</v>
      </c>
    </row>
    <row r="1520" spans="1:13" x14ac:dyDescent="0.25">
      <c r="A1520" s="2">
        <v>44284</v>
      </c>
      <c r="B1520" t="s">
        <v>43</v>
      </c>
      <c r="C1520">
        <v>17</v>
      </c>
      <c r="D1520" s="3">
        <v>5.53</v>
      </c>
      <c r="E1520" s="3">
        <v>94.01</v>
      </c>
      <c r="F1520">
        <v>28</v>
      </c>
      <c r="G1520">
        <v>15</v>
      </c>
      <c r="H1520" s="4">
        <v>4.0999999999999996</v>
      </c>
      <c r="I1520" t="s">
        <v>46</v>
      </c>
      <c r="J1520" t="s">
        <v>33</v>
      </c>
      <c r="L1520">
        <f t="shared" si="46"/>
        <v>2021</v>
      </c>
      <c r="M1520" t="str">
        <f t="shared" si="47"/>
        <v>COVID Period</v>
      </c>
    </row>
    <row r="1521" spans="1:13" x14ac:dyDescent="0.25">
      <c r="A1521" s="2">
        <v>44284</v>
      </c>
      <c r="B1521" t="s">
        <v>44</v>
      </c>
      <c r="C1521">
        <v>1</v>
      </c>
      <c r="D1521" s="3">
        <v>4.62</v>
      </c>
      <c r="E1521" s="3">
        <v>4.62</v>
      </c>
      <c r="F1521">
        <v>3</v>
      </c>
      <c r="G1521">
        <v>2</v>
      </c>
      <c r="H1521" s="4">
        <v>3.4</v>
      </c>
      <c r="I1521" t="s">
        <v>46</v>
      </c>
      <c r="J1521" t="s">
        <v>33</v>
      </c>
      <c r="K1521" t="s">
        <v>47</v>
      </c>
      <c r="L1521">
        <f t="shared" si="46"/>
        <v>2021</v>
      </c>
      <c r="M1521" t="str">
        <f t="shared" si="47"/>
        <v>COVID Period</v>
      </c>
    </row>
    <row r="1522" spans="1:13" x14ac:dyDescent="0.25">
      <c r="A1522" s="2">
        <v>44284</v>
      </c>
      <c r="B1522" t="s">
        <v>45</v>
      </c>
      <c r="C1522">
        <v>0</v>
      </c>
      <c r="D1522" s="3">
        <v>14.83</v>
      </c>
      <c r="E1522" s="3">
        <v>0</v>
      </c>
      <c r="F1522">
        <v>3</v>
      </c>
      <c r="G1522">
        <v>3</v>
      </c>
      <c r="H1522" s="4">
        <v>2.2999999999999998</v>
      </c>
      <c r="I1522" t="s">
        <v>46</v>
      </c>
      <c r="J1522" t="s">
        <v>33</v>
      </c>
      <c r="L1522">
        <f t="shared" si="46"/>
        <v>2021</v>
      </c>
      <c r="M1522" t="str">
        <f t="shared" si="47"/>
        <v>COVID Period</v>
      </c>
    </row>
    <row r="1523" spans="1:13" x14ac:dyDescent="0.25">
      <c r="A1523" s="2">
        <v>44291</v>
      </c>
      <c r="B1523" t="s">
        <v>32</v>
      </c>
      <c r="C1523">
        <v>15</v>
      </c>
      <c r="D1523" s="3">
        <v>7.06</v>
      </c>
      <c r="E1523" s="3">
        <v>105.9</v>
      </c>
      <c r="F1523">
        <v>20</v>
      </c>
      <c r="G1523">
        <v>8</v>
      </c>
      <c r="H1523" s="4">
        <v>1.2</v>
      </c>
      <c r="I1523" t="s">
        <v>33</v>
      </c>
      <c r="J1523" t="s">
        <v>33</v>
      </c>
      <c r="L1523">
        <f t="shared" si="46"/>
        <v>2021</v>
      </c>
      <c r="M1523" t="str">
        <f t="shared" si="47"/>
        <v>COVID Period</v>
      </c>
    </row>
    <row r="1524" spans="1:13" x14ac:dyDescent="0.25">
      <c r="A1524" s="2">
        <v>44291</v>
      </c>
      <c r="B1524" t="s">
        <v>34</v>
      </c>
      <c r="C1524">
        <v>15</v>
      </c>
      <c r="D1524" s="3">
        <v>7.33</v>
      </c>
      <c r="E1524" s="3">
        <v>109.95</v>
      </c>
      <c r="F1524">
        <v>20</v>
      </c>
      <c r="G1524">
        <v>5</v>
      </c>
      <c r="H1524" s="4">
        <v>0.8</v>
      </c>
      <c r="I1524" t="s">
        <v>33</v>
      </c>
      <c r="J1524" t="s">
        <v>33</v>
      </c>
      <c r="L1524">
        <f t="shared" si="46"/>
        <v>2021</v>
      </c>
      <c r="M1524" t="str">
        <f t="shared" si="47"/>
        <v>COVID Period</v>
      </c>
    </row>
    <row r="1525" spans="1:13" x14ac:dyDescent="0.25">
      <c r="A1525" s="2">
        <v>44291</v>
      </c>
      <c r="B1525" t="s">
        <v>35</v>
      </c>
      <c r="C1525">
        <v>12</v>
      </c>
      <c r="D1525" s="3">
        <v>5.71</v>
      </c>
      <c r="E1525" s="3">
        <v>68.52</v>
      </c>
      <c r="F1525">
        <v>18</v>
      </c>
      <c r="G1525">
        <v>7</v>
      </c>
      <c r="H1525" s="4">
        <v>1.5</v>
      </c>
      <c r="I1525" t="s">
        <v>33</v>
      </c>
      <c r="J1525" t="s">
        <v>33</v>
      </c>
      <c r="L1525">
        <f t="shared" si="46"/>
        <v>2021</v>
      </c>
      <c r="M1525" t="str">
        <f t="shared" si="47"/>
        <v>COVID Period</v>
      </c>
    </row>
    <row r="1526" spans="1:13" x14ac:dyDescent="0.25">
      <c r="A1526" s="2">
        <v>44291</v>
      </c>
      <c r="B1526" t="s">
        <v>36</v>
      </c>
      <c r="C1526">
        <v>13</v>
      </c>
      <c r="D1526" s="3">
        <v>6.32</v>
      </c>
      <c r="E1526" s="3">
        <v>82.16</v>
      </c>
      <c r="F1526">
        <v>15</v>
      </c>
      <c r="G1526">
        <v>4</v>
      </c>
      <c r="H1526" s="4">
        <v>0.7</v>
      </c>
      <c r="I1526" t="s">
        <v>33</v>
      </c>
      <c r="J1526" t="s">
        <v>33</v>
      </c>
      <c r="L1526">
        <f t="shared" si="46"/>
        <v>2021</v>
      </c>
      <c r="M1526" t="str">
        <f t="shared" si="47"/>
        <v>COVID Period</v>
      </c>
    </row>
    <row r="1527" spans="1:13" x14ac:dyDescent="0.25">
      <c r="A1527" s="2">
        <v>44291</v>
      </c>
      <c r="B1527" t="s">
        <v>37</v>
      </c>
      <c r="C1527">
        <v>26</v>
      </c>
      <c r="D1527" s="3">
        <v>3.28</v>
      </c>
      <c r="E1527" s="3">
        <v>85.28</v>
      </c>
      <c r="F1527">
        <v>32</v>
      </c>
      <c r="G1527">
        <v>9</v>
      </c>
      <c r="H1527" s="4">
        <v>2.7</v>
      </c>
      <c r="I1527" t="s">
        <v>33</v>
      </c>
      <c r="J1527" t="s">
        <v>33</v>
      </c>
      <c r="L1527">
        <f t="shared" si="46"/>
        <v>2021</v>
      </c>
      <c r="M1527" t="str">
        <f t="shared" si="47"/>
        <v>COVID Period</v>
      </c>
    </row>
    <row r="1528" spans="1:13" x14ac:dyDescent="0.25">
      <c r="A1528" s="2">
        <v>44291</v>
      </c>
      <c r="B1528" t="s">
        <v>38</v>
      </c>
      <c r="C1528">
        <v>14</v>
      </c>
      <c r="D1528" s="3">
        <v>8.6300000000000008</v>
      </c>
      <c r="E1528" s="3">
        <v>120.82</v>
      </c>
      <c r="F1528">
        <v>22</v>
      </c>
      <c r="G1528">
        <v>9</v>
      </c>
      <c r="H1528" s="4">
        <v>3.1</v>
      </c>
      <c r="I1528" t="s">
        <v>33</v>
      </c>
      <c r="J1528" t="s">
        <v>33</v>
      </c>
      <c r="L1528">
        <f t="shared" si="46"/>
        <v>2021</v>
      </c>
      <c r="M1528" t="str">
        <f t="shared" si="47"/>
        <v>COVID Period</v>
      </c>
    </row>
    <row r="1529" spans="1:13" x14ac:dyDescent="0.25">
      <c r="A1529" s="2">
        <v>44291</v>
      </c>
      <c r="B1529" t="s">
        <v>39</v>
      </c>
      <c r="C1529">
        <v>18</v>
      </c>
      <c r="D1529" s="3">
        <v>11.25</v>
      </c>
      <c r="E1529" s="3">
        <v>202.5</v>
      </c>
      <c r="F1529">
        <v>23</v>
      </c>
      <c r="G1529">
        <v>7</v>
      </c>
      <c r="H1529" s="4">
        <v>0.9</v>
      </c>
      <c r="I1529" t="s">
        <v>33</v>
      </c>
      <c r="J1529" t="s">
        <v>33</v>
      </c>
      <c r="L1529">
        <f t="shared" si="46"/>
        <v>2021</v>
      </c>
      <c r="M1529" t="str">
        <f t="shared" si="47"/>
        <v>COVID Period</v>
      </c>
    </row>
    <row r="1530" spans="1:13" x14ac:dyDescent="0.25">
      <c r="A1530" s="2">
        <v>44291</v>
      </c>
      <c r="B1530" t="s">
        <v>40</v>
      </c>
      <c r="C1530">
        <v>22</v>
      </c>
      <c r="D1530" s="3">
        <v>0.63</v>
      </c>
      <c r="E1530" s="3">
        <v>13.86</v>
      </c>
      <c r="F1530">
        <v>35</v>
      </c>
      <c r="G1530">
        <v>14</v>
      </c>
      <c r="H1530" s="4">
        <v>3.3</v>
      </c>
      <c r="I1530" t="s">
        <v>46</v>
      </c>
      <c r="J1530" t="s">
        <v>33</v>
      </c>
      <c r="K1530" t="s">
        <v>47</v>
      </c>
      <c r="L1530">
        <f t="shared" si="46"/>
        <v>2021</v>
      </c>
      <c r="M1530" t="str">
        <f t="shared" si="47"/>
        <v>COVID Period</v>
      </c>
    </row>
    <row r="1531" spans="1:13" x14ac:dyDescent="0.25">
      <c r="A1531" s="2">
        <v>44291</v>
      </c>
      <c r="B1531" t="s">
        <v>41</v>
      </c>
      <c r="C1531">
        <v>32</v>
      </c>
      <c r="D1531" s="3">
        <v>1.41</v>
      </c>
      <c r="E1531" s="3">
        <v>45.12</v>
      </c>
      <c r="F1531">
        <v>37</v>
      </c>
      <c r="G1531">
        <v>11</v>
      </c>
      <c r="H1531" s="4">
        <v>2.5</v>
      </c>
      <c r="I1531" t="s">
        <v>46</v>
      </c>
      <c r="J1531" t="s">
        <v>33</v>
      </c>
      <c r="K1531" t="s">
        <v>47</v>
      </c>
      <c r="L1531">
        <f t="shared" si="46"/>
        <v>2021</v>
      </c>
      <c r="M1531" t="str">
        <f t="shared" si="47"/>
        <v>COVID Period</v>
      </c>
    </row>
    <row r="1532" spans="1:13" x14ac:dyDescent="0.25">
      <c r="A1532" s="2">
        <v>44291</v>
      </c>
      <c r="B1532" t="s">
        <v>42</v>
      </c>
      <c r="C1532">
        <v>34</v>
      </c>
      <c r="D1532" s="3">
        <v>4.05</v>
      </c>
      <c r="E1532" s="3">
        <v>137.69999999999999</v>
      </c>
      <c r="F1532">
        <v>42</v>
      </c>
      <c r="G1532">
        <v>14</v>
      </c>
      <c r="H1532" s="4">
        <v>4.2</v>
      </c>
      <c r="I1532" t="s">
        <v>46</v>
      </c>
      <c r="J1532" t="s">
        <v>33</v>
      </c>
      <c r="K1532" t="s">
        <v>47</v>
      </c>
      <c r="L1532">
        <f t="shared" si="46"/>
        <v>2021</v>
      </c>
      <c r="M1532" t="str">
        <f t="shared" si="47"/>
        <v>COVID Period</v>
      </c>
    </row>
    <row r="1533" spans="1:13" x14ac:dyDescent="0.25">
      <c r="A1533" s="2">
        <v>44291</v>
      </c>
      <c r="B1533" t="s">
        <v>43</v>
      </c>
      <c r="C1533">
        <v>13</v>
      </c>
      <c r="D1533" s="3">
        <v>5.65</v>
      </c>
      <c r="E1533" s="3">
        <v>73.45</v>
      </c>
      <c r="F1533">
        <v>18</v>
      </c>
      <c r="G1533">
        <v>7</v>
      </c>
      <c r="H1533" s="4">
        <v>5.7</v>
      </c>
      <c r="I1533" t="s">
        <v>46</v>
      </c>
      <c r="J1533" t="s">
        <v>33</v>
      </c>
      <c r="L1533">
        <f t="shared" si="46"/>
        <v>2021</v>
      </c>
      <c r="M1533" t="str">
        <f t="shared" si="47"/>
        <v>COVID Period</v>
      </c>
    </row>
    <row r="1534" spans="1:13" x14ac:dyDescent="0.25">
      <c r="A1534" s="2">
        <v>44291</v>
      </c>
      <c r="B1534" t="s">
        <v>44</v>
      </c>
      <c r="C1534">
        <v>1</v>
      </c>
      <c r="D1534" s="3">
        <v>4.66</v>
      </c>
      <c r="E1534" s="3">
        <v>4.66</v>
      </c>
      <c r="F1534">
        <v>3</v>
      </c>
      <c r="G1534">
        <v>2</v>
      </c>
      <c r="H1534" s="4">
        <v>3.5</v>
      </c>
      <c r="I1534" t="s">
        <v>46</v>
      </c>
      <c r="J1534" t="s">
        <v>46</v>
      </c>
      <c r="K1534" t="s">
        <v>47</v>
      </c>
      <c r="L1534">
        <f t="shared" si="46"/>
        <v>2021</v>
      </c>
      <c r="M1534" t="str">
        <f t="shared" si="47"/>
        <v>COVID Period</v>
      </c>
    </row>
    <row r="1535" spans="1:13" x14ac:dyDescent="0.25">
      <c r="A1535" s="2">
        <v>44291</v>
      </c>
      <c r="B1535" t="s">
        <v>45</v>
      </c>
      <c r="C1535">
        <v>0</v>
      </c>
      <c r="D1535" s="3">
        <v>15.19</v>
      </c>
      <c r="E1535" s="3">
        <v>0</v>
      </c>
      <c r="F1535">
        <v>3</v>
      </c>
      <c r="G1535">
        <v>3</v>
      </c>
      <c r="H1535" s="4">
        <v>3</v>
      </c>
      <c r="I1535" t="s">
        <v>46</v>
      </c>
      <c r="J1535" t="s">
        <v>33</v>
      </c>
      <c r="L1535">
        <f t="shared" si="46"/>
        <v>2021</v>
      </c>
      <c r="M1535" t="str">
        <f t="shared" si="47"/>
        <v>COVID Period</v>
      </c>
    </row>
    <row r="1536" spans="1:13" x14ac:dyDescent="0.25">
      <c r="A1536" s="2">
        <v>44298</v>
      </c>
      <c r="B1536" t="s">
        <v>32</v>
      </c>
      <c r="C1536">
        <v>18</v>
      </c>
      <c r="D1536" s="3">
        <v>6.67</v>
      </c>
      <c r="E1536" s="3">
        <v>120.06</v>
      </c>
      <c r="F1536">
        <v>21</v>
      </c>
      <c r="G1536">
        <v>6</v>
      </c>
      <c r="H1536" s="4">
        <v>2.7</v>
      </c>
      <c r="I1536" t="s">
        <v>33</v>
      </c>
      <c r="J1536" t="s">
        <v>33</v>
      </c>
      <c r="L1536">
        <f t="shared" si="46"/>
        <v>2021</v>
      </c>
      <c r="M1536" t="str">
        <f t="shared" si="47"/>
        <v>COVID Period</v>
      </c>
    </row>
    <row r="1537" spans="1:13" x14ac:dyDescent="0.25">
      <c r="A1537" s="2">
        <v>44298</v>
      </c>
      <c r="B1537" t="s">
        <v>34</v>
      </c>
      <c r="C1537">
        <v>18</v>
      </c>
      <c r="D1537" s="3">
        <v>7.01</v>
      </c>
      <c r="E1537" s="3">
        <v>126.18</v>
      </c>
      <c r="F1537">
        <v>19</v>
      </c>
      <c r="G1537">
        <v>1</v>
      </c>
      <c r="H1537" s="4">
        <v>1.7</v>
      </c>
      <c r="I1537" t="s">
        <v>33</v>
      </c>
      <c r="J1537" t="s">
        <v>33</v>
      </c>
      <c r="L1537">
        <f t="shared" si="46"/>
        <v>2021</v>
      </c>
      <c r="M1537" t="str">
        <f t="shared" si="47"/>
        <v>COVID Period</v>
      </c>
    </row>
    <row r="1538" spans="1:13" x14ac:dyDescent="0.25">
      <c r="A1538" s="2">
        <v>44298</v>
      </c>
      <c r="B1538" t="s">
        <v>35</v>
      </c>
      <c r="C1538">
        <v>11</v>
      </c>
      <c r="D1538" s="3">
        <v>5.97</v>
      </c>
      <c r="E1538" s="3">
        <v>65.67</v>
      </c>
      <c r="F1538">
        <v>17</v>
      </c>
      <c r="G1538">
        <v>8</v>
      </c>
      <c r="H1538" s="4">
        <v>2.7</v>
      </c>
      <c r="I1538" t="s">
        <v>33</v>
      </c>
      <c r="J1538" t="s">
        <v>33</v>
      </c>
      <c r="L1538">
        <f t="shared" ref="L1538:L1601" si="48">YEAR(A1538)</f>
        <v>2021</v>
      </c>
      <c r="M1538" t="str">
        <f t="shared" ref="M1538:M1601" si="49">IF(L1538=2019,"Pre-COVID","COVID Period")</f>
        <v>COVID Period</v>
      </c>
    </row>
    <row r="1539" spans="1:13" x14ac:dyDescent="0.25">
      <c r="A1539" s="2">
        <v>44298</v>
      </c>
      <c r="B1539" t="s">
        <v>36</v>
      </c>
      <c r="C1539">
        <v>12</v>
      </c>
      <c r="D1539" s="3">
        <v>6.41</v>
      </c>
      <c r="E1539" s="3">
        <v>76.92</v>
      </c>
      <c r="F1539">
        <v>14</v>
      </c>
      <c r="G1539">
        <v>2</v>
      </c>
      <c r="H1539" s="4">
        <v>2.2000000000000002</v>
      </c>
      <c r="I1539" t="s">
        <v>33</v>
      </c>
      <c r="J1539" t="s">
        <v>33</v>
      </c>
      <c r="L1539">
        <f t="shared" si="48"/>
        <v>2021</v>
      </c>
      <c r="M1539" t="str">
        <f t="shared" si="49"/>
        <v>COVID Period</v>
      </c>
    </row>
    <row r="1540" spans="1:13" x14ac:dyDescent="0.25">
      <c r="A1540" s="2">
        <v>44298</v>
      </c>
      <c r="B1540" t="s">
        <v>37</v>
      </c>
      <c r="C1540">
        <v>31</v>
      </c>
      <c r="D1540" s="3">
        <v>3.18</v>
      </c>
      <c r="E1540" s="3">
        <v>98.58</v>
      </c>
      <c r="F1540">
        <v>37</v>
      </c>
      <c r="G1540">
        <v>6</v>
      </c>
      <c r="H1540" s="4">
        <v>2.2000000000000002</v>
      </c>
      <c r="I1540" t="s">
        <v>33</v>
      </c>
      <c r="J1540" t="s">
        <v>33</v>
      </c>
      <c r="L1540">
        <f t="shared" si="48"/>
        <v>2021</v>
      </c>
      <c r="M1540" t="str">
        <f t="shared" si="49"/>
        <v>COVID Period</v>
      </c>
    </row>
    <row r="1541" spans="1:13" x14ac:dyDescent="0.25">
      <c r="A1541" s="2">
        <v>44298</v>
      </c>
      <c r="B1541" t="s">
        <v>38</v>
      </c>
      <c r="C1541">
        <v>12</v>
      </c>
      <c r="D1541" s="3">
        <v>8.69</v>
      </c>
      <c r="E1541" s="3">
        <v>104.28</v>
      </c>
      <c r="F1541">
        <v>16</v>
      </c>
      <c r="G1541">
        <v>5</v>
      </c>
      <c r="H1541" s="4">
        <v>3.2</v>
      </c>
      <c r="I1541" t="s">
        <v>33</v>
      </c>
      <c r="J1541" t="s">
        <v>33</v>
      </c>
      <c r="L1541">
        <f t="shared" si="48"/>
        <v>2021</v>
      </c>
      <c r="M1541" t="str">
        <f t="shared" si="49"/>
        <v>COVID Period</v>
      </c>
    </row>
    <row r="1542" spans="1:13" x14ac:dyDescent="0.25">
      <c r="A1542" s="2">
        <v>44298</v>
      </c>
      <c r="B1542" t="s">
        <v>39</v>
      </c>
      <c r="C1542">
        <v>21</v>
      </c>
      <c r="D1542" s="3">
        <v>11.17</v>
      </c>
      <c r="E1542" s="3">
        <v>234.57</v>
      </c>
      <c r="F1542">
        <v>28</v>
      </c>
      <c r="G1542">
        <v>9</v>
      </c>
      <c r="H1542" s="4">
        <v>1.9</v>
      </c>
      <c r="I1542" t="s">
        <v>33</v>
      </c>
      <c r="J1542" t="s">
        <v>33</v>
      </c>
      <c r="L1542">
        <f t="shared" si="48"/>
        <v>2021</v>
      </c>
      <c r="M1542" t="str">
        <f t="shared" si="49"/>
        <v>COVID Period</v>
      </c>
    </row>
    <row r="1543" spans="1:13" x14ac:dyDescent="0.25">
      <c r="A1543" s="2">
        <v>44298</v>
      </c>
      <c r="B1543" t="s">
        <v>40</v>
      </c>
      <c r="C1543">
        <v>42</v>
      </c>
      <c r="D1543" s="3">
        <v>0.66</v>
      </c>
      <c r="E1543" s="3">
        <v>27.72</v>
      </c>
      <c r="F1543">
        <v>59</v>
      </c>
      <c r="G1543">
        <v>21</v>
      </c>
      <c r="H1543" s="4">
        <v>3.9</v>
      </c>
      <c r="I1543" t="s">
        <v>46</v>
      </c>
      <c r="J1543" t="s">
        <v>33</v>
      </c>
      <c r="K1543" t="s">
        <v>47</v>
      </c>
      <c r="L1543">
        <f t="shared" si="48"/>
        <v>2021</v>
      </c>
      <c r="M1543" t="str">
        <f t="shared" si="49"/>
        <v>COVID Period</v>
      </c>
    </row>
    <row r="1544" spans="1:13" x14ac:dyDescent="0.25">
      <c r="A1544" s="2">
        <v>44298</v>
      </c>
      <c r="B1544" t="s">
        <v>41</v>
      </c>
      <c r="C1544">
        <v>29</v>
      </c>
      <c r="D1544" s="3">
        <v>1.4</v>
      </c>
      <c r="E1544" s="3">
        <v>40.6</v>
      </c>
      <c r="F1544">
        <v>36</v>
      </c>
      <c r="G1544">
        <v>13</v>
      </c>
      <c r="H1544" s="4">
        <v>2.7</v>
      </c>
      <c r="I1544" t="s">
        <v>46</v>
      </c>
      <c r="J1544" t="s">
        <v>33</v>
      </c>
      <c r="K1544" t="s">
        <v>47</v>
      </c>
      <c r="L1544">
        <f t="shared" si="48"/>
        <v>2021</v>
      </c>
      <c r="M1544" t="str">
        <f t="shared" si="49"/>
        <v>COVID Period</v>
      </c>
    </row>
    <row r="1545" spans="1:13" x14ac:dyDescent="0.25">
      <c r="A1545" s="2">
        <v>44298</v>
      </c>
      <c r="B1545" t="s">
        <v>42</v>
      </c>
      <c r="C1545">
        <v>33</v>
      </c>
      <c r="D1545" s="3">
        <v>4.26</v>
      </c>
      <c r="E1545" s="3">
        <v>140.58000000000001</v>
      </c>
      <c r="F1545">
        <v>40</v>
      </c>
      <c r="G1545">
        <v>12</v>
      </c>
      <c r="H1545" s="4">
        <v>0.4</v>
      </c>
      <c r="I1545" t="s">
        <v>46</v>
      </c>
      <c r="J1545" t="s">
        <v>33</v>
      </c>
      <c r="K1545" t="s">
        <v>47</v>
      </c>
      <c r="L1545">
        <f t="shared" si="48"/>
        <v>2021</v>
      </c>
      <c r="M1545" t="str">
        <f t="shared" si="49"/>
        <v>COVID Period</v>
      </c>
    </row>
    <row r="1546" spans="1:13" x14ac:dyDescent="0.25">
      <c r="A1546" s="2">
        <v>44298</v>
      </c>
      <c r="B1546" t="s">
        <v>43</v>
      </c>
      <c r="C1546">
        <v>11</v>
      </c>
      <c r="D1546" s="3">
        <v>5.61</v>
      </c>
      <c r="E1546" s="3">
        <v>61.71</v>
      </c>
      <c r="F1546">
        <v>18</v>
      </c>
      <c r="G1546">
        <v>8</v>
      </c>
      <c r="H1546" s="4">
        <v>3.7</v>
      </c>
      <c r="I1546" t="s">
        <v>46</v>
      </c>
      <c r="J1546" t="s">
        <v>33</v>
      </c>
      <c r="L1546">
        <f t="shared" si="48"/>
        <v>2021</v>
      </c>
      <c r="M1546" t="str">
        <f t="shared" si="49"/>
        <v>COVID Period</v>
      </c>
    </row>
    <row r="1547" spans="1:13" x14ac:dyDescent="0.25">
      <c r="A1547" s="2">
        <v>44298</v>
      </c>
      <c r="B1547" t="s">
        <v>44</v>
      </c>
      <c r="C1547">
        <v>0</v>
      </c>
      <c r="D1547" s="3">
        <v>4.9400000000000004</v>
      </c>
      <c r="E1547" s="3">
        <v>0</v>
      </c>
      <c r="F1547">
        <v>3</v>
      </c>
      <c r="G1547">
        <v>3</v>
      </c>
      <c r="H1547" s="4">
        <v>1.2</v>
      </c>
      <c r="I1547" t="s">
        <v>46</v>
      </c>
      <c r="J1547" t="s">
        <v>33</v>
      </c>
      <c r="K1547" t="s">
        <v>47</v>
      </c>
      <c r="L1547">
        <f t="shared" si="48"/>
        <v>2021</v>
      </c>
      <c r="M1547" t="str">
        <f t="shared" si="49"/>
        <v>COVID Period</v>
      </c>
    </row>
    <row r="1548" spans="1:13" x14ac:dyDescent="0.25">
      <c r="A1548" s="2">
        <v>44298</v>
      </c>
      <c r="B1548" t="s">
        <v>45</v>
      </c>
      <c r="C1548">
        <v>0</v>
      </c>
      <c r="D1548" s="3">
        <v>14.85</v>
      </c>
      <c r="E1548" s="3">
        <v>0</v>
      </c>
      <c r="F1548">
        <v>3</v>
      </c>
      <c r="G1548">
        <v>3</v>
      </c>
      <c r="H1548" s="4">
        <v>2</v>
      </c>
      <c r="I1548" t="s">
        <v>46</v>
      </c>
      <c r="J1548" t="s">
        <v>33</v>
      </c>
      <c r="L1548">
        <f t="shared" si="48"/>
        <v>2021</v>
      </c>
      <c r="M1548" t="str">
        <f t="shared" si="49"/>
        <v>COVID Period</v>
      </c>
    </row>
    <row r="1549" spans="1:13" x14ac:dyDescent="0.25">
      <c r="A1549" s="2">
        <v>44305</v>
      </c>
      <c r="B1549" t="s">
        <v>32</v>
      </c>
      <c r="C1549">
        <v>12</v>
      </c>
      <c r="D1549" s="3">
        <v>6.61</v>
      </c>
      <c r="E1549" s="3">
        <v>79.319999999999993</v>
      </c>
      <c r="F1549">
        <v>13</v>
      </c>
      <c r="G1549">
        <v>3</v>
      </c>
      <c r="H1549" s="4">
        <v>1.9</v>
      </c>
      <c r="I1549" t="s">
        <v>33</v>
      </c>
      <c r="J1549" t="s">
        <v>33</v>
      </c>
      <c r="L1549">
        <f t="shared" si="48"/>
        <v>2021</v>
      </c>
      <c r="M1549" t="str">
        <f t="shared" si="49"/>
        <v>COVID Period</v>
      </c>
    </row>
    <row r="1550" spans="1:13" x14ac:dyDescent="0.25">
      <c r="A1550" s="2">
        <v>44305</v>
      </c>
      <c r="B1550" t="s">
        <v>34</v>
      </c>
      <c r="C1550">
        <v>19</v>
      </c>
      <c r="D1550" s="3">
        <v>7.19</v>
      </c>
      <c r="E1550" s="3">
        <v>136.61000000000001</v>
      </c>
      <c r="F1550">
        <v>23</v>
      </c>
      <c r="G1550">
        <v>5</v>
      </c>
      <c r="H1550" s="4">
        <v>0.7</v>
      </c>
      <c r="I1550" t="s">
        <v>33</v>
      </c>
      <c r="J1550" t="s">
        <v>33</v>
      </c>
      <c r="L1550">
        <f t="shared" si="48"/>
        <v>2021</v>
      </c>
      <c r="M1550" t="str">
        <f t="shared" si="49"/>
        <v>COVID Period</v>
      </c>
    </row>
    <row r="1551" spans="1:13" x14ac:dyDescent="0.25">
      <c r="A1551" s="2">
        <v>44305</v>
      </c>
      <c r="B1551" t="s">
        <v>35</v>
      </c>
      <c r="C1551">
        <v>13</v>
      </c>
      <c r="D1551" s="3">
        <v>5.94</v>
      </c>
      <c r="E1551" s="3">
        <v>77.22</v>
      </c>
      <c r="F1551">
        <v>15</v>
      </c>
      <c r="G1551">
        <v>4</v>
      </c>
      <c r="H1551" s="4">
        <v>2.1</v>
      </c>
      <c r="I1551" t="s">
        <v>33</v>
      </c>
      <c r="J1551" t="s">
        <v>33</v>
      </c>
      <c r="L1551">
        <f t="shared" si="48"/>
        <v>2021</v>
      </c>
      <c r="M1551" t="str">
        <f t="shared" si="49"/>
        <v>COVID Period</v>
      </c>
    </row>
    <row r="1552" spans="1:13" x14ac:dyDescent="0.25">
      <c r="A1552" s="2">
        <v>44305</v>
      </c>
      <c r="B1552" t="s">
        <v>36</v>
      </c>
      <c r="C1552">
        <v>15</v>
      </c>
      <c r="D1552" s="3">
        <v>6.19</v>
      </c>
      <c r="E1552" s="3">
        <v>92.85</v>
      </c>
      <c r="F1552">
        <v>19</v>
      </c>
      <c r="G1552">
        <v>5</v>
      </c>
      <c r="H1552" s="4">
        <v>2.9</v>
      </c>
      <c r="I1552" t="s">
        <v>33</v>
      </c>
      <c r="J1552" t="s">
        <v>33</v>
      </c>
      <c r="L1552">
        <f t="shared" si="48"/>
        <v>2021</v>
      </c>
      <c r="M1552" t="str">
        <f t="shared" si="49"/>
        <v>COVID Period</v>
      </c>
    </row>
    <row r="1553" spans="1:13" x14ac:dyDescent="0.25">
      <c r="A1553" s="2">
        <v>44305</v>
      </c>
      <c r="B1553" t="s">
        <v>37</v>
      </c>
      <c r="C1553">
        <v>20</v>
      </c>
      <c r="D1553" s="3">
        <v>3.29</v>
      </c>
      <c r="E1553" s="3">
        <v>65.8</v>
      </c>
      <c r="F1553">
        <v>22</v>
      </c>
      <c r="G1553">
        <v>3</v>
      </c>
      <c r="H1553" s="4">
        <v>0.8</v>
      </c>
      <c r="I1553" t="s">
        <v>33</v>
      </c>
      <c r="J1553" t="s">
        <v>33</v>
      </c>
      <c r="L1553">
        <f t="shared" si="48"/>
        <v>2021</v>
      </c>
      <c r="M1553" t="str">
        <f t="shared" si="49"/>
        <v>COVID Period</v>
      </c>
    </row>
    <row r="1554" spans="1:13" x14ac:dyDescent="0.25">
      <c r="A1554" s="2">
        <v>44305</v>
      </c>
      <c r="B1554" t="s">
        <v>38</v>
      </c>
      <c r="C1554">
        <v>14</v>
      </c>
      <c r="D1554" s="3">
        <v>8.17</v>
      </c>
      <c r="E1554" s="3">
        <v>114.38</v>
      </c>
      <c r="F1554">
        <v>15</v>
      </c>
      <c r="G1554">
        <v>3</v>
      </c>
      <c r="H1554" s="4">
        <v>2.7</v>
      </c>
      <c r="I1554" t="s">
        <v>33</v>
      </c>
      <c r="J1554" t="s">
        <v>33</v>
      </c>
      <c r="L1554">
        <f t="shared" si="48"/>
        <v>2021</v>
      </c>
      <c r="M1554" t="str">
        <f t="shared" si="49"/>
        <v>COVID Period</v>
      </c>
    </row>
    <row r="1555" spans="1:13" x14ac:dyDescent="0.25">
      <c r="A1555" s="2">
        <v>44305</v>
      </c>
      <c r="B1555" t="s">
        <v>39</v>
      </c>
      <c r="C1555">
        <v>32</v>
      </c>
      <c r="D1555" s="3">
        <v>11.23</v>
      </c>
      <c r="E1555" s="3">
        <v>359.36</v>
      </c>
      <c r="F1555">
        <v>49</v>
      </c>
      <c r="G1555">
        <v>23</v>
      </c>
      <c r="H1555" s="4">
        <v>1.2</v>
      </c>
      <c r="I1555" t="s">
        <v>33</v>
      </c>
      <c r="J1555" t="s">
        <v>33</v>
      </c>
      <c r="L1555">
        <f t="shared" si="48"/>
        <v>2021</v>
      </c>
      <c r="M1555" t="str">
        <f t="shared" si="49"/>
        <v>COVID Period</v>
      </c>
    </row>
    <row r="1556" spans="1:13" x14ac:dyDescent="0.25">
      <c r="A1556" s="2">
        <v>44305</v>
      </c>
      <c r="B1556" t="s">
        <v>40</v>
      </c>
      <c r="C1556">
        <v>59</v>
      </c>
      <c r="D1556" s="3">
        <v>0.63</v>
      </c>
      <c r="E1556" s="3">
        <v>37.17</v>
      </c>
      <c r="F1556">
        <v>83</v>
      </c>
      <c r="G1556">
        <v>32</v>
      </c>
      <c r="H1556" s="4">
        <v>4.7</v>
      </c>
      <c r="I1556" t="s">
        <v>46</v>
      </c>
      <c r="J1556" t="s">
        <v>33</v>
      </c>
      <c r="K1556" t="s">
        <v>47</v>
      </c>
      <c r="L1556">
        <f t="shared" si="48"/>
        <v>2021</v>
      </c>
      <c r="M1556" t="str">
        <f t="shared" si="49"/>
        <v>COVID Period</v>
      </c>
    </row>
    <row r="1557" spans="1:13" x14ac:dyDescent="0.25">
      <c r="A1557" s="2">
        <v>44305</v>
      </c>
      <c r="B1557" t="s">
        <v>41</v>
      </c>
      <c r="C1557">
        <v>25</v>
      </c>
      <c r="D1557" s="3">
        <v>1.38</v>
      </c>
      <c r="E1557" s="3">
        <v>34.5</v>
      </c>
      <c r="F1557">
        <v>34</v>
      </c>
      <c r="G1557">
        <v>9</v>
      </c>
      <c r="H1557" s="4">
        <v>4</v>
      </c>
      <c r="I1557" t="s">
        <v>46</v>
      </c>
      <c r="J1557" t="s">
        <v>33</v>
      </c>
      <c r="K1557" t="s">
        <v>47</v>
      </c>
      <c r="L1557">
        <f t="shared" si="48"/>
        <v>2021</v>
      </c>
      <c r="M1557" t="str">
        <f t="shared" si="49"/>
        <v>COVID Period</v>
      </c>
    </row>
    <row r="1558" spans="1:13" x14ac:dyDescent="0.25">
      <c r="A1558" s="2">
        <v>44305</v>
      </c>
      <c r="B1558" t="s">
        <v>42</v>
      </c>
      <c r="C1558">
        <v>27</v>
      </c>
      <c r="D1558" s="3">
        <v>4.33</v>
      </c>
      <c r="E1558" s="3">
        <v>116.91</v>
      </c>
      <c r="F1558">
        <v>40</v>
      </c>
      <c r="G1558">
        <v>13</v>
      </c>
      <c r="H1558" s="4">
        <v>3.9</v>
      </c>
      <c r="I1558" t="s">
        <v>46</v>
      </c>
      <c r="J1558" t="s">
        <v>33</v>
      </c>
      <c r="K1558" t="s">
        <v>47</v>
      </c>
      <c r="L1558">
        <f t="shared" si="48"/>
        <v>2021</v>
      </c>
      <c r="M1558" t="str">
        <f t="shared" si="49"/>
        <v>COVID Period</v>
      </c>
    </row>
    <row r="1559" spans="1:13" x14ac:dyDescent="0.25">
      <c r="A1559" s="2">
        <v>44305</v>
      </c>
      <c r="B1559" t="s">
        <v>43</v>
      </c>
      <c r="C1559">
        <v>18</v>
      </c>
      <c r="D1559" s="3">
        <v>5.47</v>
      </c>
      <c r="E1559" s="3">
        <v>98.46</v>
      </c>
      <c r="F1559">
        <v>20</v>
      </c>
      <c r="G1559">
        <v>4</v>
      </c>
      <c r="H1559" s="4">
        <v>2.6</v>
      </c>
      <c r="I1559" t="s">
        <v>46</v>
      </c>
      <c r="J1559" t="s">
        <v>33</v>
      </c>
      <c r="L1559">
        <f t="shared" si="48"/>
        <v>2021</v>
      </c>
      <c r="M1559" t="str">
        <f t="shared" si="49"/>
        <v>COVID Period</v>
      </c>
    </row>
    <row r="1560" spans="1:13" x14ac:dyDescent="0.25">
      <c r="A1560" s="2">
        <v>44305</v>
      </c>
      <c r="B1560" t="s">
        <v>44</v>
      </c>
      <c r="C1560">
        <v>0</v>
      </c>
      <c r="D1560" s="3">
        <v>4.8899999999999997</v>
      </c>
      <c r="E1560" s="3">
        <v>0</v>
      </c>
      <c r="F1560">
        <v>3</v>
      </c>
      <c r="G1560">
        <v>3</v>
      </c>
      <c r="H1560" s="4">
        <v>2.7</v>
      </c>
      <c r="I1560" t="s">
        <v>46</v>
      </c>
      <c r="J1560" t="s">
        <v>33</v>
      </c>
      <c r="K1560" t="s">
        <v>47</v>
      </c>
      <c r="L1560">
        <f t="shared" si="48"/>
        <v>2021</v>
      </c>
      <c r="M1560" t="str">
        <f t="shared" si="49"/>
        <v>COVID Period</v>
      </c>
    </row>
    <row r="1561" spans="1:13" x14ac:dyDescent="0.25">
      <c r="A1561" s="2">
        <v>44305</v>
      </c>
      <c r="B1561" t="s">
        <v>45</v>
      </c>
      <c r="C1561">
        <v>0</v>
      </c>
      <c r="D1561" s="3">
        <v>15.51</v>
      </c>
      <c r="E1561" s="3">
        <v>0</v>
      </c>
      <c r="F1561">
        <v>3</v>
      </c>
      <c r="G1561">
        <v>3</v>
      </c>
      <c r="H1561" s="4">
        <v>2.4</v>
      </c>
      <c r="I1561" t="s">
        <v>46</v>
      </c>
      <c r="J1561" t="s">
        <v>33</v>
      </c>
      <c r="L1561">
        <f t="shared" si="48"/>
        <v>2021</v>
      </c>
      <c r="M1561" t="str">
        <f t="shared" si="49"/>
        <v>COVID Period</v>
      </c>
    </row>
    <row r="1562" spans="1:13" x14ac:dyDescent="0.25">
      <c r="A1562" s="2">
        <v>44312</v>
      </c>
      <c r="B1562" t="s">
        <v>32</v>
      </c>
      <c r="C1562">
        <v>17</v>
      </c>
      <c r="D1562" s="3">
        <v>6.76</v>
      </c>
      <c r="E1562" s="3">
        <v>114.92</v>
      </c>
      <c r="F1562">
        <v>20</v>
      </c>
      <c r="G1562">
        <v>4</v>
      </c>
      <c r="H1562" s="4">
        <v>1.3</v>
      </c>
      <c r="I1562" t="s">
        <v>33</v>
      </c>
      <c r="J1562" t="s">
        <v>33</v>
      </c>
      <c r="L1562">
        <f t="shared" si="48"/>
        <v>2021</v>
      </c>
      <c r="M1562" t="str">
        <f t="shared" si="49"/>
        <v>COVID Period</v>
      </c>
    </row>
    <row r="1563" spans="1:13" x14ac:dyDescent="0.25">
      <c r="A1563" s="2">
        <v>44312</v>
      </c>
      <c r="B1563" t="s">
        <v>34</v>
      </c>
      <c r="C1563">
        <v>13</v>
      </c>
      <c r="D1563" s="3">
        <v>7.18</v>
      </c>
      <c r="E1563" s="3">
        <v>93.34</v>
      </c>
      <c r="F1563">
        <v>13</v>
      </c>
      <c r="G1563">
        <v>0</v>
      </c>
      <c r="H1563" s="4">
        <v>2</v>
      </c>
      <c r="I1563" t="s">
        <v>33</v>
      </c>
      <c r="J1563" t="s">
        <v>33</v>
      </c>
      <c r="L1563">
        <f t="shared" si="48"/>
        <v>2021</v>
      </c>
      <c r="M1563" t="str">
        <f t="shared" si="49"/>
        <v>COVID Period</v>
      </c>
    </row>
    <row r="1564" spans="1:13" x14ac:dyDescent="0.25">
      <c r="A1564" s="2">
        <v>44312</v>
      </c>
      <c r="B1564" t="s">
        <v>35</v>
      </c>
      <c r="C1564">
        <v>12</v>
      </c>
      <c r="D1564" s="3">
        <v>5.84</v>
      </c>
      <c r="E1564" s="3">
        <v>70.08</v>
      </c>
      <c r="F1564">
        <v>13</v>
      </c>
      <c r="G1564">
        <v>1</v>
      </c>
      <c r="H1564" s="4">
        <v>2</v>
      </c>
      <c r="I1564" t="s">
        <v>33</v>
      </c>
      <c r="J1564" t="s">
        <v>33</v>
      </c>
      <c r="L1564">
        <f t="shared" si="48"/>
        <v>2021</v>
      </c>
      <c r="M1564" t="str">
        <f t="shared" si="49"/>
        <v>COVID Period</v>
      </c>
    </row>
    <row r="1565" spans="1:13" x14ac:dyDescent="0.25">
      <c r="A1565" s="2">
        <v>44312</v>
      </c>
      <c r="B1565" t="s">
        <v>36</v>
      </c>
      <c r="C1565">
        <v>12</v>
      </c>
      <c r="D1565" s="3">
        <v>6.04</v>
      </c>
      <c r="E1565" s="3">
        <v>72.48</v>
      </c>
      <c r="F1565">
        <v>13</v>
      </c>
      <c r="G1565">
        <v>1</v>
      </c>
      <c r="H1565" s="4">
        <v>0.3</v>
      </c>
      <c r="I1565" t="s">
        <v>33</v>
      </c>
      <c r="J1565" t="s">
        <v>33</v>
      </c>
      <c r="L1565">
        <f t="shared" si="48"/>
        <v>2021</v>
      </c>
      <c r="M1565" t="str">
        <f t="shared" si="49"/>
        <v>COVID Period</v>
      </c>
    </row>
    <row r="1566" spans="1:13" x14ac:dyDescent="0.25">
      <c r="A1566" s="2">
        <v>44312</v>
      </c>
      <c r="B1566" t="s">
        <v>37</v>
      </c>
      <c r="C1566">
        <v>32</v>
      </c>
      <c r="D1566" s="3">
        <v>3.3</v>
      </c>
      <c r="E1566" s="3">
        <v>105.6</v>
      </c>
      <c r="F1566">
        <v>50</v>
      </c>
      <c r="G1566">
        <v>21</v>
      </c>
      <c r="H1566" s="4">
        <v>3.6</v>
      </c>
      <c r="I1566" t="s">
        <v>33</v>
      </c>
      <c r="J1566" t="s">
        <v>33</v>
      </c>
      <c r="L1566">
        <f t="shared" si="48"/>
        <v>2021</v>
      </c>
      <c r="M1566" t="str">
        <f t="shared" si="49"/>
        <v>COVID Period</v>
      </c>
    </row>
    <row r="1567" spans="1:13" x14ac:dyDescent="0.25">
      <c r="A1567" s="2">
        <v>44312</v>
      </c>
      <c r="B1567" t="s">
        <v>38</v>
      </c>
      <c r="C1567">
        <v>16</v>
      </c>
      <c r="D1567" s="3">
        <v>8.34</v>
      </c>
      <c r="E1567" s="3">
        <v>133.44</v>
      </c>
      <c r="F1567">
        <v>23</v>
      </c>
      <c r="G1567">
        <v>8</v>
      </c>
      <c r="H1567" s="4">
        <v>0.3</v>
      </c>
      <c r="I1567" t="s">
        <v>33</v>
      </c>
      <c r="J1567" t="s">
        <v>33</v>
      </c>
      <c r="L1567">
        <f t="shared" si="48"/>
        <v>2021</v>
      </c>
      <c r="M1567" t="str">
        <f t="shared" si="49"/>
        <v>COVID Period</v>
      </c>
    </row>
    <row r="1568" spans="1:13" x14ac:dyDescent="0.25">
      <c r="A1568" s="2">
        <v>44312</v>
      </c>
      <c r="B1568" t="s">
        <v>39</v>
      </c>
      <c r="C1568">
        <v>31</v>
      </c>
      <c r="D1568" s="3">
        <v>11.26</v>
      </c>
      <c r="E1568" s="3">
        <v>349.06</v>
      </c>
      <c r="F1568">
        <v>34</v>
      </c>
      <c r="G1568">
        <v>5</v>
      </c>
      <c r="H1568" s="4">
        <v>1.1000000000000001</v>
      </c>
      <c r="I1568" t="s">
        <v>33</v>
      </c>
      <c r="J1568" t="s">
        <v>33</v>
      </c>
      <c r="L1568">
        <f t="shared" si="48"/>
        <v>2021</v>
      </c>
      <c r="M1568" t="str">
        <f t="shared" si="49"/>
        <v>COVID Period</v>
      </c>
    </row>
    <row r="1569" spans="1:13" x14ac:dyDescent="0.25">
      <c r="A1569" s="2">
        <v>44312</v>
      </c>
      <c r="B1569" t="s">
        <v>40</v>
      </c>
      <c r="C1569">
        <v>42</v>
      </c>
      <c r="D1569" s="3">
        <v>0.66</v>
      </c>
      <c r="E1569" s="3">
        <v>27.72</v>
      </c>
      <c r="F1569">
        <v>57</v>
      </c>
      <c r="G1569">
        <v>16</v>
      </c>
      <c r="H1569" s="4">
        <v>4.8</v>
      </c>
      <c r="I1569" t="s">
        <v>46</v>
      </c>
      <c r="J1569" t="s">
        <v>33</v>
      </c>
      <c r="K1569" t="s">
        <v>47</v>
      </c>
      <c r="L1569">
        <f t="shared" si="48"/>
        <v>2021</v>
      </c>
      <c r="M1569" t="str">
        <f t="shared" si="49"/>
        <v>COVID Period</v>
      </c>
    </row>
    <row r="1570" spans="1:13" x14ac:dyDescent="0.25">
      <c r="A1570" s="2">
        <v>44312</v>
      </c>
      <c r="B1570" t="s">
        <v>41</v>
      </c>
      <c r="C1570">
        <v>19</v>
      </c>
      <c r="D1570" s="3">
        <v>1.32</v>
      </c>
      <c r="E1570" s="3">
        <v>25.08</v>
      </c>
      <c r="F1570">
        <v>22</v>
      </c>
      <c r="G1570">
        <v>7</v>
      </c>
      <c r="H1570" s="4">
        <v>6.7</v>
      </c>
      <c r="I1570" t="s">
        <v>46</v>
      </c>
      <c r="J1570" t="s">
        <v>33</v>
      </c>
      <c r="K1570" t="s">
        <v>47</v>
      </c>
      <c r="L1570">
        <f t="shared" si="48"/>
        <v>2021</v>
      </c>
      <c r="M1570" t="str">
        <f t="shared" si="49"/>
        <v>COVID Period</v>
      </c>
    </row>
    <row r="1571" spans="1:13" x14ac:dyDescent="0.25">
      <c r="A1571" s="2">
        <v>44312</v>
      </c>
      <c r="B1571" t="s">
        <v>42</v>
      </c>
      <c r="C1571">
        <v>31</v>
      </c>
      <c r="D1571" s="3">
        <v>4.41</v>
      </c>
      <c r="E1571" s="3">
        <v>136.71</v>
      </c>
      <c r="F1571">
        <v>46</v>
      </c>
      <c r="G1571">
        <v>19</v>
      </c>
      <c r="H1571" s="4">
        <v>4.9000000000000004</v>
      </c>
      <c r="I1571" t="s">
        <v>46</v>
      </c>
      <c r="J1571" t="s">
        <v>33</v>
      </c>
      <c r="K1571" t="s">
        <v>47</v>
      </c>
      <c r="L1571">
        <f t="shared" si="48"/>
        <v>2021</v>
      </c>
      <c r="M1571" t="str">
        <f t="shared" si="49"/>
        <v>COVID Period</v>
      </c>
    </row>
    <row r="1572" spans="1:13" x14ac:dyDescent="0.25">
      <c r="A1572" s="2">
        <v>44312</v>
      </c>
      <c r="B1572" t="s">
        <v>43</v>
      </c>
      <c r="C1572">
        <v>23</v>
      </c>
      <c r="D1572" s="3">
        <v>5.58</v>
      </c>
      <c r="E1572" s="3">
        <v>128.34</v>
      </c>
      <c r="F1572">
        <v>37</v>
      </c>
      <c r="G1572">
        <v>20</v>
      </c>
      <c r="H1572" s="4">
        <v>4.7</v>
      </c>
      <c r="I1572" t="s">
        <v>46</v>
      </c>
      <c r="J1572" t="s">
        <v>33</v>
      </c>
      <c r="L1572">
        <f t="shared" si="48"/>
        <v>2021</v>
      </c>
      <c r="M1572" t="str">
        <f t="shared" si="49"/>
        <v>COVID Period</v>
      </c>
    </row>
    <row r="1573" spans="1:13" x14ac:dyDescent="0.25">
      <c r="A1573" s="2">
        <v>44312</v>
      </c>
      <c r="B1573" t="s">
        <v>44</v>
      </c>
      <c r="C1573">
        <v>0</v>
      </c>
      <c r="D1573" s="3">
        <v>4.6399999999999997</v>
      </c>
      <c r="E1573" s="3">
        <v>0</v>
      </c>
      <c r="F1573">
        <v>3</v>
      </c>
      <c r="G1573">
        <v>3</v>
      </c>
      <c r="H1573" s="4">
        <v>2.7</v>
      </c>
      <c r="I1573" t="s">
        <v>46</v>
      </c>
      <c r="J1573" t="s">
        <v>33</v>
      </c>
      <c r="K1573" t="s">
        <v>47</v>
      </c>
      <c r="L1573">
        <f t="shared" si="48"/>
        <v>2021</v>
      </c>
      <c r="M1573" t="str">
        <f t="shared" si="49"/>
        <v>COVID Period</v>
      </c>
    </row>
    <row r="1574" spans="1:13" x14ac:dyDescent="0.25">
      <c r="A1574" s="2">
        <v>44312</v>
      </c>
      <c r="B1574" t="s">
        <v>45</v>
      </c>
      <c r="C1574">
        <v>0</v>
      </c>
      <c r="D1574" s="3">
        <v>14.68</v>
      </c>
      <c r="E1574" s="3">
        <v>0</v>
      </c>
      <c r="F1574">
        <v>3</v>
      </c>
      <c r="G1574">
        <v>3</v>
      </c>
      <c r="H1574" s="4">
        <v>3.5</v>
      </c>
      <c r="I1574" t="s">
        <v>46</v>
      </c>
      <c r="J1574" t="s">
        <v>33</v>
      </c>
      <c r="L1574">
        <f t="shared" si="48"/>
        <v>2021</v>
      </c>
      <c r="M1574" t="str">
        <f t="shared" si="49"/>
        <v>COVID Period</v>
      </c>
    </row>
    <row r="1575" spans="1:13" x14ac:dyDescent="0.25">
      <c r="A1575" s="2">
        <v>44319</v>
      </c>
      <c r="B1575" t="s">
        <v>32</v>
      </c>
      <c r="C1575">
        <v>17</v>
      </c>
      <c r="D1575" s="3">
        <v>7.14</v>
      </c>
      <c r="E1575" s="3">
        <v>121.38</v>
      </c>
      <c r="F1575">
        <v>27</v>
      </c>
      <c r="G1575">
        <v>14</v>
      </c>
      <c r="H1575" s="4">
        <v>0.1</v>
      </c>
      <c r="I1575" t="s">
        <v>33</v>
      </c>
      <c r="J1575" t="s">
        <v>33</v>
      </c>
      <c r="L1575">
        <f t="shared" si="48"/>
        <v>2021</v>
      </c>
      <c r="M1575" t="str">
        <f t="shared" si="49"/>
        <v>COVID Period</v>
      </c>
    </row>
    <row r="1576" spans="1:13" x14ac:dyDescent="0.25">
      <c r="A1576" s="2">
        <v>44319</v>
      </c>
      <c r="B1576" t="s">
        <v>34</v>
      </c>
      <c r="C1576">
        <v>17</v>
      </c>
      <c r="D1576" s="3">
        <v>7.07</v>
      </c>
      <c r="E1576" s="3">
        <v>120.19</v>
      </c>
      <c r="F1576">
        <v>24</v>
      </c>
      <c r="G1576">
        <v>8</v>
      </c>
      <c r="H1576" s="4">
        <v>1.8</v>
      </c>
      <c r="I1576" t="s">
        <v>33</v>
      </c>
      <c r="J1576" t="s">
        <v>33</v>
      </c>
      <c r="L1576">
        <f t="shared" si="48"/>
        <v>2021</v>
      </c>
      <c r="M1576" t="str">
        <f t="shared" si="49"/>
        <v>COVID Period</v>
      </c>
    </row>
    <row r="1577" spans="1:13" x14ac:dyDescent="0.25">
      <c r="A1577" s="2">
        <v>44319</v>
      </c>
      <c r="B1577" t="s">
        <v>35</v>
      </c>
      <c r="C1577">
        <v>12</v>
      </c>
      <c r="D1577" s="3">
        <v>5.89</v>
      </c>
      <c r="E1577" s="3">
        <v>70.680000000000007</v>
      </c>
      <c r="F1577">
        <v>16</v>
      </c>
      <c r="G1577">
        <v>7</v>
      </c>
      <c r="H1577" s="4">
        <v>0.2</v>
      </c>
      <c r="I1577" t="s">
        <v>33</v>
      </c>
      <c r="J1577" t="s">
        <v>33</v>
      </c>
      <c r="L1577">
        <f t="shared" si="48"/>
        <v>2021</v>
      </c>
      <c r="M1577" t="str">
        <f t="shared" si="49"/>
        <v>COVID Period</v>
      </c>
    </row>
    <row r="1578" spans="1:13" x14ac:dyDescent="0.25">
      <c r="A1578" s="2">
        <v>44319</v>
      </c>
      <c r="B1578" t="s">
        <v>36</v>
      </c>
      <c r="C1578">
        <v>12</v>
      </c>
      <c r="D1578" s="3">
        <v>6.22</v>
      </c>
      <c r="E1578" s="3">
        <v>74.64</v>
      </c>
      <c r="F1578">
        <v>13</v>
      </c>
      <c r="G1578">
        <v>3</v>
      </c>
      <c r="H1578" s="4">
        <v>0.9</v>
      </c>
      <c r="I1578" t="s">
        <v>33</v>
      </c>
      <c r="J1578" t="s">
        <v>33</v>
      </c>
      <c r="L1578">
        <f t="shared" si="48"/>
        <v>2021</v>
      </c>
      <c r="M1578" t="str">
        <f t="shared" si="49"/>
        <v>COVID Period</v>
      </c>
    </row>
    <row r="1579" spans="1:13" x14ac:dyDescent="0.25">
      <c r="A1579" s="2">
        <v>44319</v>
      </c>
      <c r="B1579" t="s">
        <v>37</v>
      </c>
      <c r="C1579">
        <v>26</v>
      </c>
      <c r="D1579" s="3">
        <v>3.31</v>
      </c>
      <c r="E1579" s="3">
        <v>86.06</v>
      </c>
      <c r="F1579">
        <v>29</v>
      </c>
      <c r="G1579">
        <v>7</v>
      </c>
      <c r="H1579" s="4">
        <v>2.2000000000000002</v>
      </c>
      <c r="I1579" t="s">
        <v>33</v>
      </c>
      <c r="J1579" t="s">
        <v>33</v>
      </c>
      <c r="L1579">
        <f t="shared" si="48"/>
        <v>2021</v>
      </c>
      <c r="M1579" t="str">
        <f t="shared" si="49"/>
        <v>COVID Period</v>
      </c>
    </row>
    <row r="1580" spans="1:13" x14ac:dyDescent="0.25">
      <c r="A1580" s="2">
        <v>44319</v>
      </c>
      <c r="B1580" t="s">
        <v>38</v>
      </c>
      <c r="C1580">
        <v>13</v>
      </c>
      <c r="D1580" s="3">
        <v>8.4700000000000006</v>
      </c>
      <c r="E1580" s="3">
        <v>110.11</v>
      </c>
      <c r="F1580">
        <v>17</v>
      </c>
      <c r="G1580">
        <v>4</v>
      </c>
      <c r="H1580" s="4">
        <v>1.2</v>
      </c>
      <c r="I1580" t="s">
        <v>33</v>
      </c>
      <c r="J1580" t="s">
        <v>33</v>
      </c>
      <c r="L1580">
        <f t="shared" si="48"/>
        <v>2021</v>
      </c>
      <c r="M1580" t="str">
        <f t="shared" si="49"/>
        <v>COVID Period</v>
      </c>
    </row>
    <row r="1581" spans="1:13" x14ac:dyDescent="0.25">
      <c r="A1581" s="2">
        <v>44319</v>
      </c>
      <c r="B1581" t="s">
        <v>39</v>
      </c>
      <c r="C1581">
        <v>19</v>
      </c>
      <c r="D1581" s="3">
        <v>11.29</v>
      </c>
      <c r="E1581" s="3">
        <v>214.51</v>
      </c>
      <c r="F1581">
        <v>20</v>
      </c>
      <c r="G1581">
        <v>4</v>
      </c>
      <c r="H1581" s="4">
        <v>1.5</v>
      </c>
      <c r="I1581" t="s">
        <v>33</v>
      </c>
      <c r="J1581" t="s">
        <v>33</v>
      </c>
      <c r="L1581">
        <f t="shared" si="48"/>
        <v>2021</v>
      </c>
      <c r="M1581" t="str">
        <f t="shared" si="49"/>
        <v>COVID Period</v>
      </c>
    </row>
    <row r="1582" spans="1:13" x14ac:dyDescent="0.25">
      <c r="A1582" s="2">
        <v>44319</v>
      </c>
      <c r="B1582" t="s">
        <v>40</v>
      </c>
      <c r="C1582">
        <v>52</v>
      </c>
      <c r="D1582" s="3">
        <v>0.66</v>
      </c>
      <c r="E1582" s="3">
        <v>34.32</v>
      </c>
      <c r="F1582">
        <v>77</v>
      </c>
      <c r="G1582">
        <v>25</v>
      </c>
      <c r="H1582" s="4">
        <v>2.1</v>
      </c>
      <c r="I1582" t="s">
        <v>46</v>
      </c>
      <c r="J1582" t="s">
        <v>33</v>
      </c>
      <c r="K1582" t="s">
        <v>47</v>
      </c>
      <c r="L1582">
        <f t="shared" si="48"/>
        <v>2021</v>
      </c>
      <c r="M1582" t="str">
        <f t="shared" si="49"/>
        <v>COVID Period</v>
      </c>
    </row>
    <row r="1583" spans="1:13" x14ac:dyDescent="0.25">
      <c r="A1583" s="2">
        <v>44319</v>
      </c>
      <c r="B1583" t="s">
        <v>41</v>
      </c>
      <c r="C1583">
        <v>34</v>
      </c>
      <c r="D1583" s="3">
        <v>1.39</v>
      </c>
      <c r="E1583" s="3">
        <v>47.26</v>
      </c>
      <c r="F1583">
        <v>55</v>
      </c>
      <c r="G1583">
        <v>29</v>
      </c>
      <c r="H1583" s="4">
        <v>4.0999999999999996</v>
      </c>
      <c r="I1583" t="s">
        <v>46</v>
      </c>
      <c r="J1583" t="s">
        <v>33</v>
      </c>
      <c r="K1583" t="s">
        <v>47</v>
      </c>
      <c r="L1583">
        <f t="shared" si="48"/>
        <v>2021</v>
      </c>
      <c r="M1583" t="str">
        <f t="shared" si="49"/>
        <v>COVID Period</v>
      </c>
    </row>
    <row r="1584" spans="1:13" x14ac:dyDescent="0.25">
      <c r="A1584" s="2">
        <v>44319</v>
      </c>
      <c r="B1584" t="s">
        <v>42</v>
      </c>
      <c r="C1584">
        <v>40</v>
      </c>
      <c r="D1584" s="3">
        <v>4.16</v>
      </c>
      <c r="E1584" s="3">
        <v>166.4</v>
      </c>
      <c r="F1584">
        <v>64</v>
      </c>
      <c r="G1584">
        <v>30</v>
      </c>
      <c r="H1584" s="4">
        <v>4.4000000000000004</v>
      </c>
      <c r="I1584" t="s">
        <v>46</v>
      </c>
      <c r="J1584" t="s">
        <v>33</v>
      </c>
      <c r="K1584" t="s">
        <v>47</v>
      </c>
      <c r="L1584">
        <f t="shared" si="48"/>
        <v>2021</v>
      </c>
      <c r="M1584" t="str">
        <f t="shared" si="49"/>
        <v>COVID Period</v>
      </c>
    </row>
    <row r="1585" spans="1:13" x14ac:dyDescent="0.25">
      <c r="A1585" s="2">
        <v>44319</v>
      </c>
      <c r="B1585" t="s">
        <v>43</v>
      </c>
      <c r="C1585">
        <v>20</v>
      </c>
      <c r="D1585" s="3">
        <v>5.55</v>
      </c>
      <c r="E1585" s="3">
        <v>111</v>
      </c>
      <c r="F1585">
        <v>23</v>
      </c>
      <c r="G1585">
        <v>6</v>
      </c>
      <c r="H1585" s="4">
        <v>1.5</v>
      </c>
      <c r="I1585" t="s">
        <v>46</v>
      </c>
      <c r="J1585" t="s">
        <v>33</v>
      </c>
      <c r="L1585">
        <f t="shared" si="48"/>
        <v>2021</v>
      </c>
      <c r="M1585" t="str">
        <f t="shared" si="49"/>
        <v>COVID Period</v>
      </c>
    </row>
    <row r="1586" spans="1:13" x14ac:dyDescent="0.25">
      <c r="A1586" s="2">
        <v>44319</v>
      </c>
      <c r="B1586" t="s">
        <v>44</v>
      </c>
      <c r="C1586">
        <v>0</v>
      </c>
      <c r="D1586" s="3">
        <v>4.68</v>
      </c>
      <c r="E1586" s="3">
        <v>0</v>
      </c>
      <c r="F1586">
        <v>3</v>
      </c>
      <c r="G1586">
        <v>3</v>
      </c>
      <c r="H1586" s="4">
        <v>3.5</v>
      </c>
      <c r="I1586" t="s">
        <v>46</v>
      </c>
      <c r="J1586" t="s">
        <v>33</v>
      </c>
      <c r="K1586" t="s">
        <v>47</v>
      </c>
      <c r="L1586">
        <f t="shared" si="48"/>
        <v>2021</v>
      </c>
      <c r="M1586" t="str">
        <f t="shared" si="49"/>
        <v>COVID Period</v>
      </c>
    </row>
    <row r="1587" spans="1:13" x14ac:dyDescent="0.25">
      <c r="A1587" s="2">
        <v>44319</v>
      </c>
      <c r="B1587" t="s">
        <v>45</v>
      </c>
      <c r="C1587">
        <v>1</v>
      </c>
      <c r="D1587" s="3">
        <v>14.74</v>
      </c>
      <c r="E1587" s="3">
        <v>14.74</v>
      </c>
      <c r="F1587">
        <v>3</v>
      </c>
      <c r="G1587">
        <v>3</v>
      </c>
      <c r="H1587" s="4">
        <v>3.6</v>
      </c>
      <c r="I1587" t="s">
        <v>46</v>
      </c>
      <c r="J1587" t="s">
        <v>33</v>
      </c>
      <c r="L1587">
        <f t="shared" si="48"/>
        <v>2021</v>
      </c>
      <c r="M1587" t="str">
        <f t="shared" si="49"/>
        <v>COVID Period</v>
      </c>
    </row>
    <row r="1588" spans="1:13" x14ac:dyDescent="0.25">
      <c r="A1588" s="2">
        <v>44326</v>
      </c>
      <c r="B1588" t="s">
        <v>32</v>
      </c>
      <c r="C1588">
        <v>13</v>
      </c>
      <c r="D1588" s="3">
        <v>7.1</v>
      </c>
      <c r="E1588" s="3">
        <v>92.3</v>
      </c>
      <c r="F1588">
        <v>14</v>
      </c>
      <c r="G1588">
        <v>2</v>
      </c>
      <c r="H1588" s="4">
        <v>1.5</v>
      </c>
      <c r="I1588" t="s">
        <v>33</v>
      </c>
      <c r="J1588" t="s">
        <v>33</v>
      </c>
      <c r="L1588">
        <f t="shared" si="48"/>
        <v>2021</v>
      </c>
      <c r="M1588" t="str">
        <f t="shared" si="49"/>
        <v>COVID Period</v>
      </c>
    </row>
    <row r="1589" spans="1:13" x14ac:dyDescent="0.25">
      <c r="A1589" s="2">
        <v>44326</v>
      </c>
      <c r="B1589" t="s">
        <v>34</v>
      </c>
      <c r="C1589">
        <v>20</v>
      </c>
      <c r="D1589" s="3">
        <v>6.97</v>
      </c>
      <c r="E1589" s="3">
        <v>139.4</v>
      </c>
      <c r="F1589">
        <v>27</v>
      </c>
      <c r="G1589">
        <v>9</v>
      </c>
      <c r="H1589" s="4">
        <v>2.5</v>
      </c>
      <c r="I1589" t="s">
        <v>33</v>
      </c>
      <c r="J1589" t="s">
        <v>33</v>
      </c>
      <c r="L1589">
        <f t="shared" si="48"/>
        <v>2021</v>
      </c>
      <c r="M1589" t="str">
        <f t="shared" si="49"/>
        <v>COVID Period</v>
      </c>
    </row>
    <row r="1590" spans="1:13" x14ac:dyDescent="0.25">
      <c r="A1590" s="2">
        <v>44326</v>
      </c>
      <c r="B1590" t="s">
        <v>35</v>
      </c>
      <c r="C1590">
        <v>13</v>
      </c>
      <c r="D1590" s="3">
        <v>6.13</v>
      </c>
      <c r="E1590" s="3">
        <v>79.69</v>
      </c>
      <c r="F1590">
        <v>19</v>
      </c>
      <c r="G1590">
        <v>9</v>
      </c>
      <c r="H1590" s="4">
        <v>0.9</v>
      </c>
      <c r="I1590" t="s">
        <v>33</v>
      </c>
      <c r="J1590" t="s">
        <v>33</v>
      </c>
      <c r="L1590">
        <f t="shared" si="48"/>
        <v>2021</v>
      </c>
      <c r="M1590" t="str">
        <f t="shared" si="49"/>
        <v>COVID Period</v>
      </c>
    </row>
    <row r="1591" spans="1:13" x14ac:dyDescent="0.25">
      <c r="A1591" s="2">
        <v>44326</v>
      </c>
      <c r="B1591" t="s">
        <v>36</v>
      </c>
      <c r="C1591">
        <v>10</v>
      </c>
      <c r="D1591" s="3">
        <v>6.47</v>
      </c>
      <c r="E1591" s="3">
        <v>64.7</v>
      </c>
      <c r="F1591">
        <v>12</v>
      </c>
      <c r="G1591">
        <v>3</v>
      </c>
      <c r="H1591" s="4">
        <v>0.8</v>
      </c>
      <c r="I1591" t="s">
        <v>33</v>
      </c>
      <c r="J1591" t="s">
        <v>33</v>
      </c>
      <c r="L1591">
        <f t="shared" si="48"/>
        <v>2021</v>
      </c>
      <c r="M1591" t="str">
        <f t="shared" si="49"/>
        <v>COVID Period</v>
      </c>
    </row>
    <row r="1592" spans="1:13" x14ac:dyDescent="0.25">
      <c r="A1592" s="2">
        <v>44326</v>
      </c>
      <c r="B1592" t="s">
        <v>37</v>
      </c>
      <c r="C1592">
        <v>32</v>
      </c>
      <c r="D1592" s="3">
        <v>3.26</v>
      </c>
      <c r="E1592" s="3">
        <v>104.32</v>
      </c>
      <c r="F1592">
        <v>51</v>
      </c>
      <c r="G1592">
        <v>26</v>
      </c>
      <c r="H1592" s="4">
        <v>1.3</v>
      </c>
      <c r="I1592" t="s">
        <v>33</v>
      </c>
      <c r="J1592" t="s">
        <v>33</v>
      </c>
      <c r="L1592">
        <f t="shared" si="48"/>
        <v>2021</v>
      </c>
      <c r="M1592" t="str">
        <f t="shared" si="49"/>
        <v>COVID Period</v>
      </c>
    </row>
    <row r="1593" spans="1:13" x14ac:dyDescent="0.25">
      <c r="A1593" s="2">
        <v>44326</v>
      </c>
      <c r="B1593" t="s">
        <v>38</v>
      </c>
      <c r="C1593">
        <v>15</v>
      </c>
      <c r="D1593" s="3">
        <v>8.65</v>
      </c>
      <c r="E1593" s="3">
        <v>129.75</v>
      </c>
      <c r="F1593">
        <v>22</v>
      </c>
      <c r="G1593">
        <v>8</v>
      </c>
      <c r="H1593" s="4">
        <v>1.4</v>
      </c>
      <c r="I1593" t="s">
        <v>33</v>
      </c>
      <c r="J1593" t="s">
        <v>33</v>
      </c>
      <c r="L1593">
        <f t="shared" si="48"/>
        <v>2021</v>
      </c>
      <c r="M1593" t="str">
        <f t="shared" si="49"/>
        <v>COVID Period</v>
      </c>
    </row>
    <row r="1594" spans="1:13" x14ac:dyDescent="0.25">
      <c r="A1594" s="2">
        <v>44326</v>
      </c>
      <c r="B1594" t="s">
        <v>39</v>
      </c>
      <c r="C1594">
        <v>25</v>
      </c>
      <c r="D1594" s="3">
        <v>11.94</v>
      </c>
      <c r="E1594" s="3">
        <v>298.5</v>
      </c>
      <c r="F1594">
        <v>27</v>
      </c>
      <c r="G1594">
        <v>5</v>
      </c>
      <c r="H1594" s="4">
        <v>0.3</v>
      </c>
      <c r="I1594" t="s">
        <v>33</v>
      </c>
      <c r="J1594" t="s">
        <v>33</v>
      </c>
      <c r="L1594">
        <f t="shared" si="48"/>
        <v>2021</v>
      </c>
      <c r="M1594" t="str">
        <f t="shared" si="49"/>
        <v>COVID Period</v>
      </c>
    </row>
    <row r="1595" spans="1:13" x14ac:dyDescent="0.25">
      <c r="A1595" s="2">
        <v>44326</v>
      </c>
      <c r="B1595" t="s">
        <v>40</v>
      </c>
      <c r="C1595">
        <v>49</v>
      </c>
      <c r="D1595" s="3">
        <v>0.67</v>
      </c>
      <c r="E1595" s="3">
        <v>32.83</v>
      </c>
      <c r="F1595">
        <v>68</v>
      </c>
      <c r="G1595">
        <v>21</v>
      </c>
      <c r="H1595" s="4">
        <v>2.8</v>
      </c>
      <c r="I1595" t="s">
        <v>46</v>
      </c>
      <c r="J1595" t="s">
        <v>33</v>
      </c>
      <c r="K1595" t="s">
        <v>47</v>
      </c>
      <c r="L1595">
        <f t="shared" si="48"/>
        <v>2021</v>
      </c>
      <c r="M1595" t="str">
        <f t="shared" si="49"/>
        <v>COVID Period</v>
      </c>
    </row>
    <row r="1596" spans="1:13" x14ac:dyDescent="0.25">
      <c r="A1596" s="2">
        <v>44326</v>
      </c>
      <c r="B1596" t="s">
        <v>41</v>
      </c>
      <c r="C1596">
        <v>16</v>
      </c>
      <c r="D1596" s="3">
        <v>1.41</v>
      </c>
      <c r="E1596" s="3">
        <v>22.56</v>
      </c>
      <c r="F1596">
        <v>17</v>
      </c>
      <c r="G1596">
        <v>4</v>
      </c>
      <c r="H1596" s="4">
        <v>3.4</v>
      </c>
      <c r="I1596" t="s">
        <v>46</v>
      </c>
      <c r="J1596" t="s">
        <v>33</v>
      </c>
      <c r="K1596" t="s">
        <v>47</v>
      </c>
      <c r="L1596">
        <f t="shared" si="48"/>
        <v>2021</v>
      </c>
      <c r="M1596" t="str">
        <f t="shared" si="49"/>
        <v>COVID Period</v>
      </c>
    </row>
    <row r="1597" spans="1:13" x14ac:dyDescent="0.25">
      <c r="A1597" s="2">
        <v>44326</v>
      </c>
      <c r="B1597" t="s">
        <v>42</v>
      </c>
      <c r="C1597">
        <v>28</v>
      </c>
      <c r="D1597" s="3">
        <v>4.3499999999999996</v>
      </c>
      <c r="E1597" s="3">
        <v>121.8</v>
      </c>
      <c r="F1597">
        <v>29</v>
      </c>
      <c r="G1597">
        <v>3</v>
      </c>
      <c r="H1597" s="4">
        <v>3.2</v>
      </c>
      <c r="I1597" t="s">
        <v>46</v>
      </c>
      <c r="J1597" t="s">
        <v>33</v>
      </c>
      <c r="K1597" t="s">
        <v>47</v>
      </c>
      <c r="L1597">
        <f t="shared" si="48"/>
        <v>2021</v>
      </c>
      <c r="M1597" t="str">
        <f t="shared" si="49"/>
        <v>COVID Period</v>
      </c>
    </row>
    <row r="1598" spans="1:13" x14ac:dyDescent="0.25">
      <c r="A1598" s="2">
        <v>44326</v>
      </c>
      <c r="B1598" t="s">
        <v>43</v>
      </c>
      <c r="C1598">
        <v>21</v>
      </c>
      <c r="D1598" s="3">
        <v>5.59</v>
      </c>
      <c r="E1598" s="3">
        <v>117.39</v>
      </c>
      <c r="F1598">
        <v>31</v>
      </c>
      <c r="G1598">
        <v>15</v>
      </c>
      <c r="H1598" s="4">
        <v>3.5</v>
      </c>
      <c r="I1598" t="s">
        <v>46</v>
      </c>
      <c r="J1598" t="s">
        <v>33</v>
      </c>
      <c r="L1598">
        <f t="shared" si="48"/>
        <v>2021</v>
      </c>
      <c r="M1598" t="str">
        <f t="shared" si="49"/>
        <v>COVID Period</v>
      </c>
    </row>
    <row r="1599" spans="1:13" x14ac:dyDescent="0.25">
      <c r="A1599" s="2">
        <v>44326</v>
      </c>
      <c r="B1599" t="s">
        <v>44</v>
      </c>
      <c r="C1599">
        <v>1</v>
      </c>
      <c r="D1599" s="3">
        <v>4.82</v>
      </c>
      <c r="E1599" s="3">
        <v>4.82</v>
      </c>
      <c r="F1599">
        <v>3</v>
      </c>
      <c r="G1599">
        <v>2</v>
      </c>
      <c r="H1599" s="4">
        <v>1.3</v>
      </c>
      <c r="I1599" t="s">
        <v>46</v>
      </c>
      <c r="J1599" t="s">
        <v>46</v>
      </c>
      <c r="K1599" t="s">
        <v>47</v>
      </c>
      <c r="L1599">
        <f t="shared" si="48"/>
        <v>2021</v>
      </c>
      <c r="M1599" t="str">
        <f t="shared" si="49"/>
        <v>COVID Period</v>
      </c>
    </row>
    <row r="1600" spans="1:13" x14ac:dyDescent="0.25">
      <c r="A1600" s="2">
        <v>44326</v>
      </c>
      <c r="B1600" t="s">
        <v>45</v>
      </c>
      <c r="C1600">
        <v>0</v>
      </c>
      <c r="D1600" s="3">
        <v>15.45</v>
      </c>
      <c r="E1600" s="3">
        <v>0</v>
      </c>
      <c r="F1600">
        <v>3</v>
      </c>
      <c r="G1600">
        <v>3</v>
      </c>
      <c r="H1600" s="4">
        <v>2.4</v>
      </c>
      <c r="I1600" t="s">
        <v>46</v>
      </c>
      <c r="J1600" t="s">
        <v>33</v>
      </c>
      <c r="L1600">
        <f t="shared" si="48"/>
        <v>2021</v>
      </c>
      <c r="M1600" t="str">
        <f t="shared" si="49"/>
        <v>COVID Period</v>
      </c>
    </row>
    <row r="1601" spans="1:13" x14ac:dyDescent="0.25">
      <c r="A1601" s="2">
        <v>44333</v>
      </c>
      <c r="B1601" t="s">
        <v>32</v>
      </c>
      <c r="C1601">
        <v>19</v>
      </c>
      <c r="D1601" s="3">
        <v>6.97</v>
      </c>
      <c r="E1601" s="3">
        <v>132.43</v>
      </c>
      <c r="F1601">
        <v>30</v>
      </c>
      <c r="G1601">
        <v>12</v>
      </c>
      <c r="H1601" s="4">
        <v>1.7</v>
      </c>
      <c r="I1601" t="s">
        <v>33</v>
      </c>
      <c r="J1601" t="s">
        <v>33</v>
      </c>
      <c r="L1601">
        <f t="shared" si="48"/>
        <v>2021</v>
      </c>
      <c r="M1601" t="str">
        <f t="shared" si="49"/>
        <v>COVID Period</v>
      </c>
    </row>
    <row r="1602" spans="1:13" x14ac:dyDescent="0.25">
      <c r="A1602" s="2">
        <v>44333</v>
      </c>
      <c r="B1602" t="s">
        <v>34</v>
      </c>
      <c r="C1602">
        <v>13</v>
      </c>
      <c r="D1602" s="3">
        <v>7.32</v>
      </c>
      <c r="E1602" s="3">
        <v>95.16</v>
      </c>
      <c r="F1602">
        <v>15</v>
      </c>
      <c r="G1602">
        <v>5</v>
      </c>
      <c r="H1602" s="4">
        <v>1.7</v>
      </c>
      <c r="I1602" t="s">
        <v>33</v>
      </c>
      <c r="J1602" t="s">
        <v>33</v>
      </c>
      <c r="L1602">
        <f t="shared" ref="L1602:L1665" si="50">YEAR(A1602)</f>
        <v>2021</v>
      </c>
      <c r="M1602" t="str">
        <f t="shared" ref="M1602:M1665" si="51">IF(L1602=2019,"Pre-COVID","COVID Period")</f>
        <v>COVID Period</v>
      </c>
    </row>
    <row r="1603" spans="1:13" x14ac:dyDescent="0.25">
      <c r="A1603" s="2">
        <v>44333</v>
      </c>
      <c r="B1603" t="s">
        <v>35</v>
      </c>
      <c r="C1603">
        <v>14</v>
      </c>
      <c r="D1603" s="3">
        <v>5.9</v>
      </c>
      <c r="E1603" s="3">
        <v>82.6</v>
      </c>
      <c r="F1603">
        <v>15</v>
      </c>
      <c r="G1603">
        <v>2</v>
      </c>
      <c r="H1603" s="4">
        <v>0.7</v>
      </c>
      <c r="I1603" t="s">
        <v>33</v>
      </c>
      <c r="J1603" t="s">
        <v>33</v>
      </c>
      <c r="L1603">
        <f t="shared" si="50"/>
        <v>2021</v>
      </c>
      <c r="M1603" t="str">
        <f t="shared" si="51"/>
        <v>COVID Period</v>
      </c>
    </row>
    <row r="1604" spans="1:13" x14ac:dyDescent="0.25">
      <c r="A1604" s="2">
        <v>44333</v>
      </c>
      <c r="B1604" t="s">
        <v>36</v>
      </c>
      <c r="C1604">
        <v>16</v>
      </c>
      <c r="D1604" s="3">
        <v>6.45</v>
      </c>
      <c r="E1604" s="3">
        <v>103.2</v>
      </c>
      <c r="F1604">
        <v>26</v>
      </c>
      <c r="G1604">
        <v>14</v>
      </c>
      <c r="H1604" s="4">
        <v>2.1</v>
      </c>
      <c r="I1604" t="s">
        <v>33</v>
      </c>
      <c r="J1604" t="s">
        <v>33</v>
      </c>
      <c r="L1604">
        <f t="shared" si="50"/>
        <v>2021</v>
      </c>
      <c r="M1604" t="str">
        <f t="shared" si="51"/>
        <v>COVID Period</v>
      </c>
    </row>
    <row r="1605" spans="1:13" x14ac:dyDescent="0.25">
      <c r="A1605" s="2">
        <v>44333</v>
      </c>
      <c r="B1605" t="s">
        <v>37</v>
      </c>
      <c r="C1605">
        <v>31</v>
      </c>
      <c r="D1605" s="3">
        <v>3.28</v>
      </c>
      <c r="E1605" s="3">
        <v>101.68</v>
      </c>
      <c r="F1605">
        <v>43</v>
      </c>
      <c r="G1605">
        <v>15</v>
      </c>
      <c r="H1605" s="4">
        <v>1.6</v>
      </c>
      <c r="I1605" t="s">
        <v>33</v>
      </c>
      <c r="J1605" t="s">
        <v>33</v>
      </c>
      <c r="L1605">
        <f t="shared" si="50"/>
        <v>2021</v>
      </c>
      <c r="M1605" t="str">
        <f t="shared" si="51"/>
        <v>COVID Period</v>
      </c>
    </row>
    <row r="1606" spans="1:13" x14ac:dyDescent="0.25">
      <c r="A1606" s="2">
        <v>44333</v>
      </c>
      <c r="B1606" t="s">
        <v>38</v>
      </c>
      <c r="C1606">
        <v>14</v>
      </c>
      <c r="D1606" s="3">
        <v>8.44</v>
      </c>
      <c r="E1606" s="3">
        <v>118.16</v>
      </c>
      <c r="F1606">
        <v>21</v>
      </c>
      <c r="G1606">
        <v>8</v>
      </c>
      <c r="H1606" s="4">
        <v>0.4</v>
      </c>
      <c r="I1606" t="s">
        <v>33</v>
      </c>
      <c r="J1606" t="s">
        <v>33</v>
      </c>
      <c r="L1606">
        <f t="shared" si="50"/>
        <v>2021</v>
      </c>
      <c r="M1606" t="str">
        <f t="shared" si="51"/>
        <v>COVID Period</v>
      </c>
    </row>
    <row r="1607" spans="1:13" x14ac:dyDescent="0.25">
      <c r="A1607" s="2">
        <v>44333</v>
      </c>
      <c r="B1607" t="s">
        <v>39</v>
      </c>
      <c r="C1607">
        <v>34</v>
      </c>
      <c r="D1607" s="3">
        <v>11.23</v>
      </c>
      <c r="E1607" s="3">
        <v>381.82</v>
      </c>
      <c r="F1607">
        <v>46</v>
      </c>
      <c r="G1607">
        <v>20</v>
      </c>
      <c r="H1607" s="4">
        <v>2.2999999999999998</v>
      </c>
      <c r="I1607" t="s">
        <v>33</v>
      </c>
      <c r="J1607" t="s">
        <v>33</v>
      </c>
      <c r="L1607">
        <f t="shared" si="50"/>
        <v>2021</v>
      </c>
      <c r="M1607" t="str">
        <f t="shared" si="51"/>
        <v>COVID Period</v>
      </c>
    </row>
    <row r="1608" spans="1:13" x14ac:dyDescent="0.25">
      <c r="A1608" s="2">
        <v>44333</v>
      </c>
      <c r="B1608" t="s">
        <v>40</v>
      </c>
      <c r="C1608">
        <v>36</v>
      </c>
      <c r="D1608" s="3">
        <v>0.66</v>
      </c>
      <c r="E1608" s="3">
        <v>23.76</v>
      </c>
      <c r="F1608">
        <v>51</v>
      </c>
      <c r="G1608">
        <v>22</v>
      </c>
      <c r="H1608" s="4">
        <v>7</v>
      </c>
      <c r="I1608" t="s">
        <v>46</v>
      </c>
      <c r="J1608" t="s">
        <v>33</v>
      </c>
      <c r="K1608" t="s">
        <v>47</v>
      </c>
      <c r="L1608">
        <f t="shared" si="50"/>
        <v>2021</v>
      </c>
      <c r="M1608" t="str">
        <f t="shared" si="51"/>
        <v>COVID Period</v>
      </c>
    </row>
    <row r="1609" spans="1:13" x14ac:dyDescent="0.25">
      <c r="A1609" s="2">
        <v>44333</v>
      </c>
      <c r="B1609" t="s">
        <v>41</v>
      </c>
      <c r="C1609">
        <v>23</v>
      </c>
      <c r="D1609" s="3">
        <v>1.41</v>
      </c>
      <c r="E1609" s="3">
        <v>32.43</v>
      </c>
      <c r="F1609">
        <v>25</v>
      </c>
      <c r="G1609">
        <v>6</v>
      </c>
      <c r="H1609" s="4">
        <v>3.8</v>
      </c>
      <c r="I1609" t="s">
        <v>46</v>
      </c>
      <c r="J1609" t="s">
        <v>33</v>
      </c>
      <c r="K1609" t="s">
        <v>47</v>
      </c>
      <c r="L1609">
        <f t="shared" si="50"/>
        <v>2021</v>
      </c>
      <c r="M1609" t="str">
        <f t="shared" si="51"/>
        <v>COVID Period</v>
      </c>
    </row>
    <row r="1610" spans="1:13" x14ac:dyDescent="0.25">
      <c r="A1610" s="2">
        <v>44333</v>
      </c>
      <c r="B1610" t="s">
        <v>42</v>
      </c>
      <c r="C1610">
        <v>35</v>
      </c>
      <c r="D1610" s="3">
        <v>4.33</v>
      </c>
      <c r="E1610" s="3">
        <v>151.55000000000001</v>
      </c>
      <c r="F1610">
        <v>38</v>
      </c>
      <c r="G1610">
        <v>10</v>
      </c>
      <c r="H1610" s="4">
        <v>3.8</v>
      </c>
      <c r="I1610" t="s">
        <v>46</v>
      </c>
      <c r="J1610" t="s">
        <v>33</v>
      </c>
      <c r="K1610" t="s">
        <v>47</v>
      </c>
      <c r="L1610">
        <f t="shared" si="50"/>
        <v>2021</v>
      </c>
      <c r="M1610" t="str">
        <f t="shared" si="51"/>
        <v>COVID Period</v>
      </c>
    </row>
    <row r="1611" spans="1:13" x14ac:dyDescent="0.25">
      <c r="A1611" s="2">
        <v>44333</v>
      </c>
      <c r="B1611" t="s">
        <v>43</v>
      </c>
      <c r="C1611">
        <v>22</v>
      </c>
      <c r="D1611" s="3">
        <v>5.49</v>
      </c>
      <c r="E1611" s="3">
        <v>120.78</v>
      </c>
      <c r="F1611">
        <v>32</v>
      </c>
      <c r="G1611">
        <v>11</v>
      </c>
      <c r="H1611" s="4">
        <v>5.8</v>
      </c>
      <c r="I1611" t="s">
        <v>46</v>
      </c>
      <c r="J1611" t="s">
        <v>33</v>
      </c>
      <c r="L1611">
        <f t="shared" si="50"/>
        <v>2021</v>
      </c>
      <c r="M1611" t="str">
        <f t="shared" si="51"/>
        <v>COVID Period</v>
      </c>
    </row>
    <row r="1612" spans="1:13" x14ac:dyDescent="0.25">
      <c r="A1612" s="2">
        <v>44333</v>
      </c>
      <c r="B1612" t="s">
        <v>44</v>
      </c>
      <c r="C1612">
        <v>0</v>
      </c>
      <c r="D1612" s="3">
        <v>4.68</v>
      </c>
      <c r="E1612" s="3">
        <v>0</v>
      </c>
      <c r="F1612">
        <v>3</v>
      </c>
      <c r="G1612">
        <v>3</v>
      </c>
      <c r="H1612" s="4">
        <v>2.7</v>
      </c>
      <c r="I1612" t="s">
        <v>46</v>
      </c>
      <c r="J1612" t="s">
        <v>33</v>
      </c>
      <c r="K1612" t="s">
        <v>47</v>
      </c>
      <c r="L1612">
        <f t="shared" si="50"/>
        <v>2021</v>
      </c>
      <c r="M1612" t="str">
        <f t="shared" si="51"/>
        <v>COVID Period</v>
      </c>
    </row>
    <row r="1613" spans="1:13" x14ac:dyDescent="0.25">
      <c r="A1613" s="2">
        <v>44333</v>
      </c>
      <c r="B1613" t="s">
        <v>45</v>
      </c>
      <c r="C1613">
        <v>1</v>
      </c>
      <c r="D1613" s="3">
        <v>15.51</v>
      </c>
      <c r="E1613" s="3">
        <v>15.51</v>
      </c>
      <c r="F1613">
        <v>3</v>
      </c>
      <c r="G1613">
        <v>3</v>
      </c>
      <c r="H1613" s="4">
        <v>3.7</v>
      </c>
      <c r="I1613" t="s">
        <v>46</v>
      </c>
      <c r="J1613" t="s">
        <v>33</v>
      </c>
      <c r="L1613">
        <f t="shared" si="50"/>
        <v>2021</v>
      </c>
      <c r="M1613" t="str">
        <f t="shared" si="51"/>
        <v>COVID Period</v>
      </c>
    </row>
    <row r="1614" spans="1:13" x14ac:dyDescent="0.25">
      <c r="A1614" s="2">
        <v>44340</v>
      </c>
      <c r="B1614" t="s">
        <v>32</v>
      </c>
      <c r="C1614">
        <v>16</v>
      </c>
      <c r="D1614" s="3">
        <v>6.93</v>
      </c>
      <c r="E1614" s="3">
        <v>110.88</v>
      </c>
      <c r="F1614">
        <v>21</v>
      </c>
      <c r="G1614">
        <v>5</v>
      </c>
      <c r="H1614" s="4">
        <v>0.4</v>
      </c>
      <c r="I1614" t="s">
        <v>33</v>
      </c>
      <c r="J1614" t="s">
        <v>33</v>
      </c>
      <c r="L1614">
        <f t="shared" si="50"/>
        <v>2021</v>
      </c>
      <c r="M1614" t="str">
        <f t="shared" si="51"/>
        <v>COVID Period</v>
      </c>
    </row>
    <row r="1615" spans="1:13" x14ac:dyDescent="0.25">
      <c r="A1615" s="2">
        <v>44340</v>
      </c>
      <c r="B1615" t="s">
        <v>34</v>
      </c>
      <c r="C1615">
        <v>17</v>
      </c>
      <c r="D1615" s="3">
        <v>7.34</v>
      </c>
      <c r="E1615" s="3">
        <v>124.78</v>
      </c>
      <c r="F1615">
        <v>27</v>
      </c>
      <c r="G1615">
        <v>11</v>
      </c>
      <c r="H1615" s="4">
        <v>2.1</v>
      </c>
      <c r="I1615" t="s">
        <v>33</v>
      </c>
      <c r="J1615" t="s">
        <v>33</v>
      </c>
      <c r="L1615">
        <f t="shared" si="50"/>
        <v>2021</v>
      </c>
      <c r="M1615" t="str">
        <f t="shared" si="51"/>
        <v>COVID Period</v>
      </c>
    </row>
    <row r="1616" spans="1:13" x14ac:dyDescent="0.25">
      <c r="A1616" s="2">
        <v>44340</v>
      </c>
      <c r="B1616" t="s">
        <v>35</v>
      </c>
      <c r="C1616">
        <v>11</v>
      </c>
      <c r="D1616" s="3">
        <v>6.17</v>
      </c>
      <c r="E1616" s="3">
        <v>67.87</v>
      </c>
      <c r="F1616">
        <v>18</v>
      </c>
      <c r="G1616">
        <v>9</v>
      </c>
      <c r="H1616" s="4">
        <v>1.6</v>
      </c>
      <c r="I1616" t="s">
        <v>33</v>
      </c>
      <c r="J1616" t="s">
        <v>33</v>
      </c>
      <c r="L1616">
        <f t="shared" si="50"/>
        <v>2021</v>
      </c>
      <c r="M1616" t="str">
        <f t="shared" si="51"/>
        <v>COVID Period</v>
      </c>
    </row>
    <row r="1617" spans="1:13" x14ac:dyDescent="0.25">
      <c r="A1617" s="2">
        <v>44340</v>
      </c>
      <c r="B1617" t="s">
        <v>36</v>
      </c>
      <c r="C1617">
        <v>9</v>
      </c>
      <c r="D1617" s="3">
        <v>6.34</v>
      </c>
      <c r="E1617" s="3">
        <v>57.06</v>
      </c>
      <c r="F1617">
        <v>14</v>
      </c>
      <c r="G1617">
        <v>7</v>
      </c>
      <c r="H1617" s="4">
        <v>2.4</v>
      </c>
      <c r="I1617" t="s">
        <v>33</v>
      </c>
      <c r="J1617" t="s">
        <v>33</v>
      </c>
      <c r="L1617">
        <f t="shared" si="50"/>
        <v>2021</v>
      </c>
      <c r="M1617" t="str">
        <f t="shared" si="51"/>
        <v>COVID Period</v>
      </c>
    </row>
    <row r="1618" spans="1:13" x14ac:dyDescent="0.25">
      <c r="A1618" s="2">
        <v>44340</v>
      </c>
      <c r="B1618" t="s">
        <v>37</v>
      </c>
      <c r="C1618">
        <v>33</v>
      </c>
      <c r="D1618" s="3">
        <v>3.12</v>
      </c>
      <c r="E1618" s="3">
        <v>102.96</v>
      </c>
      <c r="F1618">
        <v>47</v>
      </c>
      <c r="G1618">
        <v>19</v>
      </c>
      <c r="H1618" s="4">
        <v>2</v>
      </c>
      <c r="I1618" t="s">
        <v>33</v>
      </c>
      <c r="J1618" t="s">
        <v>33</v>
      </c>
      <c r="L1618">
        <f t="shared" si="50"/>
        <v>2021</v>
      </c>
      <c r="M1618" t="str">
        <f t="shared" si="51"/>
        <v>COVID Period</v>
      </c>
    </row>
    <row r="1619" spans="1:13" x14ac:dyDescent="0.25">
      <c r="A1619" s="2">
        <v>44340</v>
      </c>
      <c r="B1619" t="s">
        <v>38</v>
      </c>
      <c r="C1619">
        <v>16</v>
      </c>
      <c r="D1619" s="3">
        <v>8.3699999999999992</v>
      </c>
      <c r="E1619" s="3">
        <v>133.91999999999999</v>
      </c>
      <c r="F1619">
        <v>24</v>
      </c>
      <c r="G1619">
        <v>10</v>
      </c>
      <c r="H1619" s="4">
        <v>1.5</v>
      </c>
      <c r="I1619" t="s">
        <v>33</v>
      </c>
      <c r="J1619" t="s">
        <v>33</v>
      </c>
      <c r="L1619">
        <f t="shared" si="50"/>
        <v>2021</v>
      </c>
      <c r="M1619" t="str">
        <f t="shared" si="51"/>
        <v>COVID Period</v>
      </c>
    </row>
    <row r="1620" spans="1:13" x14ac:dyDescent="0.25">
      <c r="A1620" s="2">
        <v>44340</v>
      </c>
      <c r="B1620" t="s">
        <v>39</v>
      </c>
      <c r="C1620">
        <v>33</v>
      </c>
      <c r="D1620" s="3">
        <v>12.07</v>
      </c>
      <c r="E1620" s="3">
        <v>398.31</v>
      </c>
      <c r="F1620">
        <v>53</v>
      </c>
      <c r="G1620">
        <v>21</v>
      </c>
      <c r="H1620" s="4">
        <v>1.2</v>
      </c>
      <c r="I1620" t="s">
        <v>33</v>
      </c>
      <c r="J1620" t="s">
        <v>33</v>
      </c>
      <c r="L1620">
        <f t="shared" si="50"/>
        <v>2021</v>
      </c>
      <c r="M1620" t="str">
        <f t="shared" si="51"/>
        <v>COVID Period</v>
      </c>
    </row>
    <row r="1621" spans="1:13" x14ac:dyDescent="0.25">
      <c r="A1621" s="2">
        <v>44340</v>
      </c>
      <c r="B1621" t="s">
        <v>40</v>
      </c>
      <c r="C1621">
        <v>48</v>
      </c>
      <c r="D1621" s="3">
        <v>0.63</v>
      </c>
      <c r="E1621" s="3">
        <v>30.24</v>
      </c>
      <c r="F1621">
        <v>78</v>
      </c>
      <c r="G1621">
        <v>44</v>
      </c>
      <c r="H1621" s="4">
        <v>4.5999999999999996</v>
      </c>
      <c r="I1621" t="s">
        <v>46</v>
      </c>
      <c r="J1621" t="s">
        <v>33</v>
      </c>
      <c r="K1621" t="s">
        <v>47</v>
      </c>
      <c r="L1621">
        <f t="shared" si="50"/>
        <v>2021</v>
      </c>
      <c r="M1621" t="str">
        <f t="shared" si="51"/>
        <v>COVID Period</v>
      </c>
    </row>
    <row r="1622" spans="1:13" x14ac:dyDescent="0.25">
      <c r="A1622" s="2">
        <v>44340</v>
      </c>
      <c r="B1622" t="s">
        <v>41</v>
      </c>
      <c r="C1622">
        <v>28</v>
      </c>
      <c r="D1622" s="3">
        <v>1.32</v>
      </c>
      <c r="E1622" s="3">
        <v>36.96</v>
      </c>
      <c r="F1622">
        <v>40</v>
      </c>
      <c r="G1622">
        <v>18</v>
      </c>
      <c r="H1622" s="4">
        <v>4.2</v>
      </c>
      <c r="I1622" t="s">
        <v>46</v>
      </c>
      <c r="J1622" t="s">
        <v>33</v>
      </c>
      <c r="K1622" t="s">
        <v>47</v>
      </c>
      <c r="L1622">
        <f t="shared" si="50"/>
        <v>2021</v>
      </c>
      <c r="M1622" t="str">
        <f t="shared" si="51"/>
        <v>COVID Period</v>
      </c>
    </row>
    <row r="1623" spans="1:13" x14ac:dyDescent="0.25">
      <c r="A1623" s="2">
        <v>44340</v>
      </c>
      <c r="B1623" t="s">
        <v>42</v>
      </c>
      <c r="C1623">
        <v>34</v>
      </c>
      <c r="D1623" s="3">
        <v>4.0599999999999996</v>
      </c>
      <c r="E1623" s="3">
        <v>138.04</v>
      </c>
      <c r="F1623">
        <v>47</v>
      </c>
      <c r="G1623">
        <v>20</v>
      </c>
      <c r="H1623" s="4">
        <v>3.8</v>
      </c>
      <c r="I1623" t="s">
        <v>46</v>
      </c>
      <c r="J1623" t="s">
        <v>33</v>
      </c>
      <c r="K1623" t="s">
        <v>47</v>
      </c>
      <c r="L1623">
        <f t="shared" si="50"/>
        <v>2021</v>
      </c>
      <c r="M1623" t="str">
        <f t="shared" si="51"/>
        <v>COVID Period</v>
      </c>
    </row>
    <row r="1624" spans="1:13" x14ac:dyDescent="0.25">
      <c r="A1624" s="2">
        <v>44340</v>
      </c>
      <c r="B1624" t="s">
        <v>43</v>
      </c>
      <c r="C1624">
        <v>20</v>
      </c>
      <c r="D1624" s="3">
        <v>5.56</v>
      </c>
      <c r="E1624" s="3">
        <v>111.2</v>
      </c>
      <c r="F1624">
        <v>29</v>
      </c>
      <c r="G1624">
        <v>11</v>
      </c>
      <c r="H1624" s="4">
        <v>3.8</v>
      </c>
      <c r="I1624" t="s">
        <v>46</v>
      </c>
      <c r="J1624" t="s">
        <v>33</v>
      </c>
      <c r="L1624">
        <f t="shared" si="50"/>
        <v>2021</v>
      </c>
      <c r="M1624" t="str">
        <f t="shared" si="51"/>
        <v>COVID Period</v>
      </c>
    </row>
    <row r="1625" spans="1:13" x14ac:dyDescent="0.25">
      <c r="A1625" s="2">
        <v>44340</v>
      </c>
      <c r="B1625" t="s">
        <v>44</v>
      </c>
      <c r="C1625">
        <v>1</v>
      </c>
      <c r="D1625" s="3">
        <v>4.97</v>
      </c>
      <c r="E1625" s="3">
        <v>4.97</v>
      </c>
      <c r="F1625">
        <v>3</v>
      </c>
      <c r="G1625">
        <v>2</v>
      </c>
      <c r="H1625" s="4">
        <v>2</v>
      </c>
      <c r="I1625" t="s">
        <v>46</v>
      </c>
      <c r="J1625" t="s">
        <v>46</v>
      </c>
      <c r="K1625" t="s">
        <v>47</v>
      </c>
      <c r="L1625">
        <f t="shared" si="50"/>
        <v>2021</v>
      </c>
      <c r="M1625" t="str">
        <f t="shared" si="51"/>
        <v>COVID Period</v>
      </c>
    </row>
    <row r="1626" spans="1:13" x14ac:dyDescent="0.25">
      <c r="A1626" s="2">
        <v>44340</v>
      </c>
      <c r="B1626" t="s">
        <v>45</v>
      </c>
      <c r="C1626">
        <v>0</v>
      </c>
      <c r="D1626" s="3">
        <v>15.09</v>
      </c>
      <c r="E1626" s="3">
        <v>0</v>
      </c>
      <c r="F1626">
        <v>3</v>
      </c>
      <c r="G1626">
        <v>3</v>
      </c>
      <c r="H1626" s="4">
        <v>3.2</v>
      </c>
      <c r="I1626" t="s">
        <v>46</v>
      </c>
      <c r="J1626" t="s">
        <v>33</v>
      </c>
      <c r="L1626">
        <f t="shared" si="50"/>
        <v>2021</v>
      </c>
      <c r="M1626" t="str">
        <f t="shared" si="51"/>
        <v>COVID Period</v>
      </c>
    </row>
    <row r="1627" spans="1:13" x14ac:dyDescent="0.25">
      <c r="A1627" s="2">
        <v>44347</v>
      </c>
      <c r="B1627" t="s">
        <v>32</v>
      </c>
      <c r="C1627">
        <v>17</v>
      </c>
      <c r="D1627" s="3">
        <v>6.6</v>
      </c>
      <c r="E1627" s="3">
        <v>112.2</v>
      </c>
      <c r="F1627">
        <v>26</v>
      </c>
      <c r="G1627">
        <v>9</v>
      </c>
      <c r="H1627" s="4">
        <v>0.4</v>
      </c>
      <c r="I1627" t="s">
        <v>33</v>
      </c>
      <c r="J1627" t="s">
        <v>33</v>
      </c>
      <c r="L1627">
        <f t="shared" si="50"/>
        <v>2021</v>
      </c>
      <c r="M1627" t="str">
        <f t="shared" si="51"/>
        <v>COVID Period</v>
      </c>
    </row>
    <row r="1628" spans="1:13" x14ac:dyDescent="0.25">
      <c r="A1628" s="2">
        <v>44347</v>
      </c>
      <c r="B1628" t="s">
        <v>34</v>
      </c>
      <c r="C1628">
        <v>23</v>
      </c>
      <c r="D1628" s="3">
        <v>7.41</v>
      </c>
      <c r="E1628" s="3">
        <v>170.43</v>
      </c>
      <c r="F1628">
        <v>36</v>
      </c>
      <c r="G1628">
        <v>15</v>
      </c>
      <c r="H1628" s="4">
        <v>0.6</v>
      </c>
      <c r="I1628" t="s">
        <v>33</v>
      </c>
      <c r="J1628" t="s">
        <v>33</v>
      </c>
      <c r="L1628">
        <f t="shared" si="50"/>
        <v>2021</v>
      </c>
      <c r="M1628" t="str">
        <f t="shared" si="51"/>
        <v>COVID Period</v>
      </c>
    </row>
    <row r="1629" spans="1:13" x14ac:dyDescent="0.25">
      <c r="A1629" s="2">
        <v>44347</v>
      </c>
      <c r="B1629" t="s">
        <v>35</v>
      </c>
      <c r="C1629">
        <v>13</v>
      </c>
      <c r="D1629" s="3">
        <v>6.11</v>
      </c>
      <c r="E1629" s="3">
        <v>79.430000000000007</v>
      </c>
      <c r="F1629">
        <v>14</v>
      </c>
      <c r="G1629">
        <v>2</v>
      </c>
      <c r="H1629" s="4">
        <v>2.9</v>
      </c>
      <c r="I1629" t="s">
        <v>33</v>
      </c>
      <c r="J1629" t="s">
        <v>33</v>
      </c>
      <c r="L1629">
        <f t="shared" si="50"/>
        <v>2021</v>
      </c>
      <c r="M1629" t="str">
        <f t="shared" si="51"/>
        <v>COVID Period</v>
      </c>
    </row>
    <row r="1630" spans="1:13" x14ac:dyDescent="0.25">
      <c r="A1630" s="2">
        <v>44347</v>
      </c>
      <c r="B1630" t="s">
        <v>36</v>
      </c>
      <c r="C1630">
        <v>13</v>
      </c>
      <c r="D1630" s="3">
        <v>5.98</v>
      </c>
      <c r="E1630" s="3">
        <v>77.739999999999995</v>
      </c>
      <c r="F1630">
        <v>21</v>
      </c>
      <c r="G1630">
        <v>10</v>
      </c>
      <c r="H1630" s="4">
        <v>1.4</v>
      </c>
      <c r="I1630" t="s">
        <v>33</v>
      </c>
      <c r="J1630" t="s">
        <v>33</v>
      </c>
      <c r="L1630">
        <f t="shared" si="50"/>
        <v>2021</v>
      </c>
      <c r="M1630" t="str">
        <f t="shared" si="51"/>
        <v>COVID Period</v>
      </c>
    </row>
    <row r="1631" spans="1:13" x14ac:dyDescent="0.25">
      <c r="A1631" s="2">
        <v>44347</v>
      </c>
      <c r="B1631" t="s">
        <v>37</v>
      </c>
      <c r="C1631">
        <v>40</v>
      </c>
      <c r="D1631" s="3">
        <v>3.11</v>
      </c>
      <c r="E1631" s="3">
        <v>124.4</v>
      </c>
      <c r="F1631">
        <v>50</v>
      </c>
      <c r="G1631">
        <v>16</v>
      </c>
      <c r="H1631" s="4">
        <v>1</v>
      </c>
      <c r="I1631" t="s">
        <v>33</v>
      </c>
      <c r="J1631" t="s">
        <v>33</v>
      </c>
      <c r="L1631">
        <f t="shared" si="50"/>
        <v>2021</v>
      </c>
      <c r="M1631" t="str">
        <f t="shared" si="51"/>
        <v>COVID Period</v>
      </c>
    </row>
    <row r="1632" spans="1:13" x14ac:dyDescent="0.25">
      <c r="A1632" s="2">
        <v>44347</v>
      </c>
      <c r="B1632" t="s">
        <v>38</v>
      </c>
      <c r="C1632">
        <v>15</v>
      </c>
      <c r="D1632" s="3">
        <v>8.5399999999999991</v>
      </c>
      <c r="E1632" s="3">
        <v>128.1</v>
      </c>
      <c r="F1632">
        <v>18</v>
      </c>
      <c r="G1632">
        <v>4</v>
      </c>
      <c r="H1632" s="4">
        <v>3</v>
      </c>
      <c r="I1632" t="s">
        <v>33</v>
      </c>
      <c r="J1632" t="s">
        <v>33</v>
      </c>
      <c r="L1632">
        <f t="shared" si="50"/>
        <v>2021</v>
      </c>
      <c r="M1632" t="str">
        <f t="shared" si="51"/>
        <v>COVID Period</v>
      </c>
    </row>
    <row r="1633" spans="1:13" x14ac:dyDescent="0.25">
      <c r="A1633" s="2">
        <v>44347</v>
      </c>
      <c r="B1633" t="s">
        <v>39</v>
      </c>
      <c r="C1633">
        <v>26</v>
      </c>
      <c r="D1633" s="3">
        <v>11.96</v>
      </c>
      <c r="E1633" s="3">
        <v>310.95999999999998</v>
      </c>
      <c r="F1633">
        <v>43</v>
      </c>
      <c r="G1633">
        <v>18</v>
      </c>
      <c r="H1633" s="4">
        <v>1.8</v>
      </c>
      <c r="I1633" t="s">
        <v>33</v>
      </c>
      <c r="J1633" t="s">
        <v>33</v>
      </c>
      <c r="L1633">
        <f t="shared" si="50"/>
        <v>2021</v>
      </c>
      <c r="M1633" t="str">
        <f t="shared" si="51"/>
        <v>COVID Period</v>
      </c>
    </row>
    <row r="1634" spans="1:13" x14ac:dyDescent="0.25">
      <c r="A1634" s="2">
        <v>44347</v>
      </c>
      <c r="B1634" t="s">
        <v>40</v>
      </c>
      <c r="C1634">
        <v>30</v>
      </c>
      <c r="D1634" s="3">
        <v>0.66</v>
      </c>
      <c r="E1634" s="3">
        <v>19.8</v>
      </c>
      <c r="F1634">
        <v>49</v>
      </c>
      <c r="G1634">
        <v>23</v>
      </c>
      <c r="H1634" s="4">
        <v>2</v>
      </c>
      <c r="I1634" t="s">
        <v>46</v>
      </c>
      <c r="J1634" t="s">
        <v>33</v>
      </c>
      <c r="K1634" t="s">
        <v>47</v>
      </c>
      <c r="L1634">
        <f t="shared" si="50"/>
        <v>2021</v>
      </c>
      <c r="M1634" t="str">
        <f t="shared" si="51"/>
        <v>COVID Period</v>
      </c>
    </row>
    <row r="1635" spans="1:13" x14ac:dyDescent="0.25">
      <c r="A1635" s="2">
        <v>44347</v>
      </c>
      <c r="B1635" t="s">
        <v>41</v>
      </c>
      <c r="C1635">
        <v>25</v>
      </c>
      <c r="D1635" s="3">
        <v>1.4</v>
      </c>
      <c r="E1635" s="3">
        <v>35</v>
      </c>
      <c r="F1635">
        <v>40</v>
      </c>
      <c r="G1635">
        <v>21</v>
      </c>
      <c r="H1635" s="4">
        <v>4.9000000000000004</v>
      </c>
      <c r="I1635" t="s">
        <v>46</v>
      </c>
      <c r="J1635" t="s">
        <v>33</v>
      </c>
      <c r="K1635" t="s">
        <v>47</v>
      </c>
      <c r="L1635">
        <f t="shared" si="50"/>
        <v>2021</v>
      </c>
      <c r="M1635" t="str">
        <f t="shared" si="51"/>
        <v>COVID Period</v>
      </c>
    </row>
    <row r="1636" spans="1:13" x14ac:dyDescent="0.25">
      <c r="A1636" s="2">
        <v>44347</v>
      </c>
      <c r="B1636" t="s">
        <v>42</v>
      </c>
      <c r="C1636">
        <v>39</v>
      </c>
      <c r="D1636" s="3">
        <v>4.3</v>
      </c>
      <c r="E1636" s="3">
        <v>167.7</v>
      </c>
      <c r="F1636">
        <v>58</v>
      </c>
      <c r="G1636">
        <v>21</v>
      </c>
      <c r="H1636" s="4">
        <v>6.3</v>
      </c>
      <c r="I1636" t="s">
        <v>46</v>
      </c>
      <c r="J1636" t="s">
        <v>33</v>
      </c>
      <c r="K1636" t="s">
        <v>47</v>
      </c>
      <c r="L1636">
        <f t="shared" si="50"/>
        <v>2021</v>
      </c>
      <c r="M1636" t="str">
        <f t="shared" si="51"/>
        <v>COVID Period</v>
      </c>
    </row>
    <row r="1637" spans="1:13" x14ac:dyDescent="0.25">
      <c r="A1637" s="2">
        <v>44347</v>
      </c>
      <c r="B1637" t="s">
        <v>43</v>
      </c>
      <c r="C1637">
        <v>14</v>
      </c>
      <c r="D1637" s="3">
        <v>5.35</v>
      </c>
      <c r="E1637" s="3">
        <v>74.900000000000006</v>
      </c>
      <c r="F1637">
        <v>15</v>
      </c>
      <c r="G1637">
        <v>3</v>
      </c>
      <c r="H1637" s="4">
        <v>3.9</v>
      </c>
      <c r="I1637" t="s">
        <v>46</v>
      </c>
      <c r="J1637" t="s">
        <v>33</v>
      </c>
      <c r="L1637">
        <f t="shared" si="50"/>
        <v>2021</v>
      </c>
      <c r="M1637" t="str">
        <f t="shared" si="51"/>
        <v>COVID Period</v>
      </c>
    </row>
    <row r="1638" spans="1:13" x14ac:dyDescent="0.25">
      <c r="A1638" s="2">
        <v>44347</v>
      </c>
      <c r="B1638" t="s">
        <v>44</v>
      </c>
      <c r="C1638">
        <v>1</v>
      </c>
      <c r="D1638" s="3">
        <v>4.6500000000000004</v>
      </c>
      <c r="E1638" s="3">
        <v>4.6500000000000004</v>
      </c>
      <c r="F1638">
        <v>3</v>
      </c>
      <c r="G1638">
        <v>2</v>
      </c>
      <c r="H1638" s="4">
        <v>2.1</v>
      </c>
      <c r="I1638" t="s">
        <v>46</v>
      </c>
      <c r="J1638" t="s">
        <v>33</v>
      </c>
      <c r="K1638" t="s">
        <v>47</v>
      </c>
      <c r="L1638">
        <f t="shared" si="50"/>
        <v>2021</v>
      </c>
      <c r="M1638" t="str">
        <f t="shared" si="51"/>
        <v>COVID Period</v>
      </c>
    </row>
    <row r="1639" spans="1:13" x14ac:dyDescent="0.25">
      <c r="A1639" s="2">
        <v>44347</v>
      </c>
      <c r="B1639" t="s">
        <v>45</v>
      </c>
      <c r="C1639">
        <v>1</v>
      </c>
      <c r="D1639" s="3">
        <v>14.89</v>
      </c>
      <c r="E1639" s="3">
        <v>14.89</v>
      </c>
      <c r="F1639">
        <v>3</v>
      </c>
      <c r="G1639">
        <v>2</v>
      </c>
      <c r="H1639" s="4">
        <v>2.5</v>
      </c>
      <c r="I1639" t="s">
        <v>46</v>
      </c>
      <c r="J1639" t="s">
        <v>33</v>
      </c>
      <c r="L1639">
        <f t="shared" si="50"/>
        <v>2021</v>
      </c>
      <c r="M1639" t="str">
        <f t="shared" si="51"/>
        <v>COVID Period</v>
      </c>
    </row>
    <row r="1640" spans="1:13" x14ac:dyDescent="0.25">
      <c r="A1640" s="2">
        <v>44354</v>
      </c>
      <c r="B1640" t="s">
        <v>32</v>
      </c>
      <c r="C1640">
        <v>14</v>
      </c>
      <c r="D1640" s="3">
        <v>6.86</v>
      </c>
      <c r="E1640" s="3">
        <v>96.04</v>
      </c>
      <c r="F1640">
        <v>18</v>
      </c>
      <c r="G1640">
        <v>5</v>
      </c>
      <c r="H1640" s="4">
        <v>2.5</v>
      </c>
      <c r="I1640" t="s">
        <v>33</v>
      </c>
      <c r="J1640" t="s">
        <v>33</v>
      </c>
      <c r="L1640">
        <f t="shared" si="50"/>
        <v>2021</v>
      </c>
      <c r="M1640" t="str">
        <f t="shared" si="51"/>
        <v>COVID Period</v>
      </c>
    </row>
    <row r="1641" spans="1:13" x14ac:dyDescent="0.25">
      <c r="A1641" s="2">
        <v>44354</v>
      </c>
      <c r="B1641" t="s">
        <v>34</v>
      </c>
      <c r="C1641">
        <v>17</v>
      </c>
      <c r="D1641" s="3">
        <v>7.28</v>
      </c>
      <c r="E1641" s="3">
        <v>123.76</v>
      </c>
      <c r="F1641">
        <v>20</v>
      </c>
      <c r="G1641">
        <v>3</v>
      </c>
      <c r="H1641" s="4">
        <v>1.4</v>
      </c>
      <c r="I1641" t="s">
        <v>33</v>
      </c>
      <c r="J1641" t="s">
        <v>33</v>
      </c>
      <c r="L1641">
        <f t="shared" si="50"/>
        <v>2021</v>
      </c>
      <c r="M1641" t="str">
        <f t="shared" si="51"/>
        <v>COVID Period</v>
      </c>
    </row>
    <row r="1642" spans="1:13" x14ac:dyDescent="0.25">
      <c r="A1642" s="2">
        <v>44354</v>
      </c>
      <c r="B1642" t="s">
        <v>35</v>
      </c>
      <c r="C1642">
        <v>13</v>
      </c>
      <c r="D1642" s="3">
        <v>5.72</v>
      </c>
      <c r="E1642" s="3">
        <v>74.36</v>
      </c>
      <c r="F1642">
        <v>17</v>
      </c>
      <c r="G1642">
        <v>5</v>
      </c>
      <c r="H1642" s="4">
        <v>1.5</v>
      </c>
      <c r="I1642" t="s">
        <v>33</v>
      </c>
      <c r="J1642" t="s">
        <v>33</v>
      </c>
      <c r="L1642">
        <f t="shared" si="50"/>
        <v>2021</v>
      </c>
      <c r="M1642" t="str">
        <f t="shared" si="51"/>
        <v>COVID Period</v>
      </c>
    </row>
    <row r="1643" spans="1:13" x14ac:dyDescent="0.25">
      <c r="A1643" s="2">
        <v>44354</v>
      </c>
      <c r="B1643" t="s">
        <v>36</v>
      </c>
      <c r="C1643">
        <v>11</v>
      </c>
      <c r="D1643" s="3">
        <v>6.27</v>
      </c>
      <c r="E1643" s="3">
        <v>68.97</v>
      </c>
      <c r="F1643">
        <v>12</v>
      </c>
      <c r="G1643">
        <v>3</v>
      </c>
      <c r="H1643" s="4">
        <v>1.3</v>
      </c>
      <c r="I1643" t="s">
        <v>33</v>
      </c>
      <c r="J1643" t="s">
        <v>33</v>
      </c>
      <c r="L1643">
        <f t="shared" si="50"/>
        <v>2021</v>
      </c>
      <c r="M1643" t="str">
        <f t="shared" si="51"/>
        <v>COVID Period</v>
      </c>
    </row>
    <row r="1644" spans="1:13" x14ac:dyDescent="0.25">
      <c r="A1644" s="2">
        <v>44354</v>
      </c>
      <c r="B1644" t="s">
        <v>37</v>
      </c>
      <c r="C1644">
        <v>30</v>
      </c>
      <c r="D1644" s="3">
        <v>3.13</v>
      </c>
      <c r="E1644" s="3">
        <v>93.9</v>
      </c>
      <c r="F1644">
        <v>49</v>
      </c>
      <c r="G1644">
        <v>22</v>
      </c>
      <c r="H1644" s="4">
        <v>0.8</v>
      </c>
      <c r="I1644" t="s">
        <v>33</v>
      </c>
      <c r="J1644" t="s">
        <v>33</v>
      </c>
      <c r="L1644">
        <f t="shared" si="50"/>
        <v>2021</v>
      </c>
      <c r="M1644" t="str">
        <f t="shared" si="51"/>
        <v>COVID Period</v>
      </c>
    </row>
    <row r="1645" spans="1:13" x14ac:dyDescent="0.25">
      <c r="A1645" s="2">
        <v>44354</v>
      </c>
      <c r="B1645" t="s">
        <v>38</v>
      </c>
      <c r="C1645">
        <v>8</v>
      </c>
      <c r="D1645" s="3">
        <v>8.43</v>
      </c>
      <c r="E1645" s="3">
        <v>67.44</v>
      </c>
      <c r="F1645">
        <v>9</v>
      </c>
      <c r="G1645">
        <v>2</v>
      </c>
      <c r="H1645" s="4">
        <v>0.4</v>
      </c>
      <c r="I1645" t="s">
        <v>33</v>
      </c>
      <c r="J1645" t="s">
        <v>33</v>
      </c>
      <c r="L1645">
        <f t="shared" si="50"/>
        <v>2021</v>
      </c>
      <c r="M1645" t="str">
        <f t="shared" si="51"/>
        <v>COVID Period</v>
      </c>
    </row>
    <row r="1646" spans="1:13" x14ac:dyDescent="0.25">
      <c r="A1646" s="2">
        <v>44354</v>
      </c>
      <c r="B1646" t="s">
        <v>39</v>
      </c>
      <c r="C1646">
        <v>24</v>
      </c>
      <c r="D1646" s="3">
        <v>11.21</v>
      </c>
      <c r="E1646" s="3">
        <v>269.04000000000002</v>
      </c>
      <c r="F1646">
        <v>34</v>
      </c>
      <c r="G1646">
        <v>12</v>
      </c>
      <c r="H1646" s="4">
        <v>2.9</v>
      </c>
      <c r="I1646" t="s">
        <v>33</v>
      </c>
      <c r="J1646" t="s">
        <v>33</v>
      </c>
      <c r="L1646">
        <f t="shared" si="50"/>
        <v>2021</v>
      </c>
      <c r="M1646" t="str">
        <f t="shared" si="51"/>
        <v>COVID Period</v>
      </c>
    </row>
    <row r="1647" spans="1:13" x14ac:dyDescent="0.25">
      <c r="A1647" s="2">
        <v>44354</v>
      </c>
      <c r="B1647" t="s">
        <v>40</v>
      </c>
      <c r="C1647">
        <v>43</v>
      </c>
      <c r="D1647" s="3">
        <v>0.62</v>
      </c>
      <c r="E1647" s="3">
        <v>26.66</v>
      </c>
      <c r="F1647">
        <v>54</v>
      </c>
      <c r="G1647">
        <v>20</v>
      </c>
      <c r="H1647" s="4">
        <v>3.9</v>
      </c>
      <c r="I1647" t="s">
        <v>46</v>
      </c>
      <c r="J1647" t="s">
        <v>33</v>
      </c>
      <c r="K1647" t="s">
        <v>47</v>
      </c>
      <c r="L1647">
        <f t="shared" si="50"/>
        <v>2021</v>
      </c>
      <c r="M1647" t="str">
        <f t="shared" si="51"/>
        <v>COVID Period</v>
      </c>
    </row>
    <row r="1648" spans="1:13" x14ac:dyDescent="0.25">
      <c r="A1648" s="2">
        <v>44354</v>
      </c>
      <c r="B1648" t="s">
        <v>41</v>
      </c>
      <c r="C1648">
        <v>27</v>
      </c>
      <c r="D1648" s="3">
        <v>1.38</v>
      </c>
      <c r="E1648" s="3">
        <v>37.26</v>
      </c>
      <c r="F1648">
        <v>38</v>
      </c>
      <c r="G1648">
        <v>17</v>
      </c>
      <c r="H1648" s="4">
        <v>3</v>
      </c>
      <c r="I1648" t="s">
        <v>46</v>
      </c>
      <c r="J1648" t="s">
        <v>33</v>
      </c>
      <c r="K1648" t="s">
        <v>47</v>
      </c>
      <c r="L1648">
        <f t="shared" si="50"/>
        <v>2021</v>
      </c>
      <c r="M1648" t="str">
        <f t="shared" si="51"/>
        <v>COVID Period</v>
      </c>
    </row>
    <row r="1649" spans="1:13" x14ac:dyDescent="0.25">
      <c r="A1649" s="2">
        <v>44354</v>
      </c>
      <c r="B1649" t="s">
        <v>42</v>
      </c>
      <c r="C1649">
        <v>27</v>
      </c>
      <c r="D1649" s="3">
        <v>4.12</v>
      </c>
      <c r="E1649" s="3">
        <v>111.24</v>
      </c>
      <c r="F1649">
        <v>43</v>
      </c>
      <c r="G1649">
        <v>18</v>
      </c>
      <c r="H1649" s="4">
        <v>3.4</v>
      </c>
      <c r="I1649" t="s">
        <v>46</v>
      </c>
      <c r="J1649" t="s">
        <v>33</v>
      </c>
      <c r="K1649" t="s">
        <v>47</v>
      </c>
      <c r="L1649">
        <f t="shared" si="50"/>
        <v>2021</v>
      </c>
      <c r="M1649" t="str">
        <f t="shared" si="51"/>
        <v>COVID Period</v>
      </c>
    </row>
    <row r="1650" spans="1:13" x14ac:dyDescent="0.25">
      <c r="A1650" s="2">
        <v>44354</v>
      </c>
      <c r="B1650" t="s">
        <v>43</v>
      </c>
      <c r="C1650">
        <v>22</v>
      </c>
      <c r="D1650" s="3">
        <v>5.44</v>
      </c>
      <c r="E1650" s="3">
        <v>119.68</v>
      </c>
      <c r="F1650">
        <v>31</v>
      </c>
      <c r="G1650">
        <v>14</v>
      </c>
      <c r="H1650" s="4">
        <v>3.5</v>
      </c>
      <c r="I1650" t="s">
        <v>46</v>
      </c>
      <c r="J1650" t="s">
        <v>33</v>
      </c>
      <c r="L1650">
        <f t="shared" si="50"/>
        <v>2021</v>
      </c>
      <c r="M1650" t="str">
        <f t="shared" si="51"/>
        <v>COVID Period</v>
      </c>
    </row>
    <row r="1651" spans="1:13" x14ac:dyDescent="0.25">
      <c r="A1651" s="2">
        <v>44354</v>
      </c>
      <c r="B1651" t="s">
        <v>44</v>
      </c>
      <c r="C1651">
        <v>0</v>
      </c>
      <c r="D1651" s="3">
        <v>5.0199999999999996</v>
      </c>
      <c r="E1651" s="3">
        <v>0</v>
      </c>
      <c r="F1651">
        <v>3</v>
      </c>
      <c r="G1651">
        <v>3</v>
      </c>
      <c r="H1651" s="4">
        <v>3.2</v>
      </c>
      <c r="I1651" t="s">
        <v>46</v>
      </c>
      <c r="J1651" t="s">
        <v>33</v>
      </c>
      <c r="K1651" t="s">
        <v>47</v>
      </c>
      <c r="L1651">
        <f t="shared" si="50"/>
        <v>2021</v>
      </c>
      <c r="M1651" t="str">
        <f t="shared" si="51"/>
        <v>COVID Period</v>
      </c>
    </row>
    <row r="1652" spans="1:13" x14ac:dyDescent="0.25">
      <c r="A1652" s="2">
        <v>44354</v>
      </c>
      <c r="B1652" t="s">
        <v>45</v>
      </c>
      <c r="C1652">
        <v>1</v>
      </c>
      <c r="D1652" s="3">
        <v>14.63</v>
      </c>
      <c r="E1652" s="3">
        <v>14.63</v>
      </c>
      <c r="F1652">
        <v>3</v>
      </c>
      <c r="G1652">
        <v>2</v>
      </c>
      <c r="H1652" s="4">
        <v>3.1</v>
      </c>
      <c r="I1652" t="s">
        <v>46</v>
      </c>
      <c r="J1652" t="s">
        <v>33</v>
      </c>
      <c r="L1652">
        <f t="shared" si="50"/>
        <v>2021</v>
      </c>
      <c r="M1652" t="str">
        <f t="shared" si="51"/>
        <v>COVID Period</v>
      </c>
    </row>
    <row r="1653" spans="1:13" x14ac:dyDescent="0.25">
      <c r="A1653" s="2">
        <v>44361</v>
      </c>
      <c r="B1653" t="s">
        <v>32</v>
      </c>
      <c r="C1653">
        <v>25</v>
      </c>
      <c r="D1653" s="3">
        <v>7.11</v>
      </c>
      <c r="E1653" s="3">
        <v>177.75</v>
      </c>
      <c r="F1653">
        <v>37</v>
      </c>
      <c r="G1653">
        <v>18</v>
      </c>
      <c r="H1653" s="4">
        <v>1.7</v>
      </c>
      <c r="I1653" t="s">
        <v>33</v>
      </c>
      <c r="J1653" t="s">
        <v>33</v>
      </c>
      <c r="L1653">
        <f t="shared" si="50"/>
        <v>2021</v>
      </c>
      <c r="M1653" t="str">
        <f t="shared" si="51"/>
        <v>COVID Period</v>
      </c>
    </row>
    <row r="1654" spans="1:13" x14ac:dyDescent="0.25">
      <c r="A1654" s="2">
        <v>44361</v>
      </c>
      <c r="B1654" t="s">
        <v>34</v>
      </c>
      <c r="C1654">
        <v>11</v>
      </c>
      <c r="D1654" s="3">
        <v>7.29</v>
      </c>
      <c r="E1654" s="3">
        <v>80.19</v>
      </c>
      <c r="F1654">
        <v>18</v>
      </c>
      <c r="G1654">
        <v>9</v>
      </c>
      <c r="H1654" s="4">
        <v>2.4</v>
      </c>
      <c r="I1654" t="s">
        <v>33</v>
      </c>
      <c r="J1654" t="s">
        <v>33</v>
      </c>
      <c r="L1654">
        <f t="shared" si="50"/>
        <v>2021</v>
      </c>
      <c r="M1654" t="str">
        <f t="shared" si="51"/>
        <v>COVID Period</v>
      </c>
    </row>
    <row r="1655" spans="1:13" x14ac:dyDescent="0.25">
      <c r="A1655" s="2">
        <v>44361</v>
      </c>
      <c r="B1655" t="s">
        <v>35</v>
      </c>
      <c r="C1655">
        <v>9</v>
      </c>
      <c r="D1655" s="3">
        <v>6.12</v>
      </c>
      <c r="E1655" s="3">
        <v>55.08</v>
      </c>
      <c r="F1655">
        <v>14</v>
      </c>
      <c r="G1655">
        <v>6</v>
      </c>
      <c r="H1655" s="4">
        <v>2.2999999999999998</v>
      </c>
      <c r="I1655" t="s">
        <v>33</v>
      </c>
      <c r="J1655" t="s">
        <v>33</v>
      </c>
      <c r="L1655">
        <f t="shared" si="50"/>
        <v>2021</v>
      </c>
      <c r="M1655" t="str">
        <f t="shared" si="51"/>
        <v>COVID Period</v>
      </c>
    </row>
    <row r="1656" spans="1:13" x14ac:dyDescent="0.25">
      <c r="A1656" s="2">
        <v>44361</v>
      </c>
      <c r="B1656" t="s">
        <v>36</v>
      </c>
      <c r="C1656">
        <v>10</v>
      </c>
      <c r="D1656" s="3">
        <v>6.13</v>
      </c>
      <c r="E1656" s="3">
        <v>61.3</v>
      </c>
      <c r="F1656">
        <v>15</v>
      </c>
      <c r="G1656">
        <v>6</v>
      </c>
      <c r="H1656" s="4">
        <v>0.9</v>
      </c>
      <c r="I1656" t="s">
        <v>33</v>
      </c>
      <c r="J1656" t="s">
        <v>33</v>
      </c>
      <c r="L1656">
        <f t="shared" si="50"/>
        <v>2021</v>
      </c>
      <c r="M1656" t="str">
        <f t="shared" si="51"/>
        <v>COVID Period</v>
      </c>
    </row>
    <row r="1657" spans="1:13" x14ac:dyDescent="0.25">
      <c r="A1657" s="2">
        <v>44361</v>
      </c>
      <c r="B1657" t="s">
        <v>37</v>
      </c>
      <c r="C1657">
        <v>28</v>
      </c>
      <c r="D1657" s="3">
        <v>3.34</v>
      </c>
      <c r="E1657" s="3">
        <v>93.52</v>
      </c>
      <c r="F1657">
        <v>36</v>
      </c>
      <c r="G1657">
        <v>10</v>
      </c>
      <c r="H1657" s="4">
        <v>2.9</v>
      </c>
      <c r="I1657" t="s">
        <v>33</v>
      </c>
      <c r="J1657" t="s">
        <v>33</v>
      </c>
      <c r="L1657">
        <f t="shared" si="50"/>
        <v>2021</v>
      </c>
      <c r="M1657" t="str">
        <f t="shared" si="51"/>
        <v>COVID Period</v>
      </c>
    </row>
    <row r="1658" spans="1:13" x14ac:dyDescent="0.25">
      <c r="A1658" s="2">
        <v>44361</v>
      </c>
      <c r="B1658" t="s">
        <v>38</v>
      </c>
      <c r="C1658">
        <v>15</v>
      </c>
      <c r="D1658" s="3">
        <v>8.7899999999999991</v>
      </c>
      <c r="E1658" s="3">
        <v>131.85</v>
      </c>
      <c r="F1658">
        <v>22</v>
      </c>
      <c r="G1658">
        <v>9</v>
      </c>
      <c r="H1658" s="4">
        <v>1.4</v>
      </c>
      <c r="I1658" t="s">
        <v>33</v>
      </c>
      <c r="J1658" t="s">
        <v>33</v>
      </c>
      <c r="L1658">
        <f t="shared" si="50"/>
        <v>2021</v>
      </c>
      <c r="M1658" t="str">
        <f t="shared" si="51"/>
        <v>COVID Period</v>
      </c>
    </row>
    <row r="1659" spans="1:13" x14ac:dyDescent="0.25">
      <c r="A1659" s="2">
        <v>44361</v>
      </c>
      <c r="B1659" t="s">
        <v>39</v>
      </c>
      <c r="C1659">
        <v>20</v>
      </c>
      <c r="D1659" s="3">
        <v>11.57</v>
      </c>
      <c r="E1659" s="3">
        <v>231.4</v>
      </c>
      <c r="F1659">
        <v>24</v>
      </c>
      <c r="G1659">
        <v>5</v>
      </c>
      <c r="H1659" s="4">
        <v>1.7</v>
      </c>
      <c r="I1659" t="s">
        <v>33</v>
      </c>
      <c r="J1659" t="s">
        <v>33</v>
      </c>
      <c r="L1659">
        <f t="shared" si="50"/>
        <v>2021</v>
      </c>
      <c r="M1659" t="str">
        <f t="shared" si="51"/>
        <v>COVID Period</v>
      </c>
    </row>
    <row r="1660" spans="1:13" x14ac:dyDescent="0.25">
      <c r="A1660" s="2">
        <v>44361</v>
      </c>
      <c r="B1660" t="s">
        <v>40</v>
      </c>
      <c r="C1660">
        <v>46</v>
      </c>
      <c r="D1660" s="3">
        <v>0.66</v>
      </c>
      <c r="E1660" s="3">
        <v>30.36</v>
      </c>
      <c r="F1660">
        <v>75</v>
      </c>
      <c r="G1660">
        <v>33</v>
      </c>
      <c r="H1660" s="4">
        <v>1.4</v>
      </c>
      <c r="I1660" t="s">
        <v>46</v>
      </c>
      <c r="J1660" t="s">
        <v>33</v>
      </c>
      <c r="K1660" t="s">
        <v>47</v>
      </c>
      <c r="L1660">
        <f t="shared" si="50"/>
        <v>2021</v>
      </c>
      <c r="M1660" t="str">
        <f t="shared" si="51"/>
        <v>COVID Period</v>
      </c>
    </row>
    <row r="1661" spans="1:13" x14ac:dyDescent="0.25">
      <c r="A1661" s="2">
        <v>44361</v>
      </c>
      <c r="B1661" t="s">
        <v>41</v>
      </c>
      <c r="C1661">
        <v>32</v>
      </c>
      <c r="D1661" s="3">
        <v>1.36</v>
      </c>
      <c r="E1661" s="3">
        <v>43.52</v>
      </c>
      <c r="F1661">
        <v>50</v>
      </c>
      <c r="G1661">
        <v>27</v>
      </c>
      <c r="H1661" s="4">
        <v>7.1</v>
      </c>
      <c r="I1661" t="s">
        <v>46</v>
      </c>
      <c r="J1661" t="s">
        <v>33</v>
      </c>
      <c r="K1661" t="s">
        <v>47</v>
      </c>
      <c r="L1661">
        <f t="shared" si="50"/>
        <v>2021</v>
      </c>
      <c r="M1661" t="str">
        <f t="shared" si="51"/>
        <v>COVID Period</v>
      </c>
    </row>
    <row r="1662" spans="1:13" x14ac:dyDescent="0.25">
      <c r="A1662" s="2">
        <v>44361</v>
      </c>
      <c r="B1662" t="s">
        <v>42</v>
      </c>
      <c r="C1662">
        <v>30</v>
      </c>
      <c r="D1662" s="3">
        <v>4.38</v>
      </c>
      <c r="E1662" s="3">
        <v>131.4</v>
      </c>
      <c r="F1662">
        <v>49</v>
      </c>
      <c r="G1662">
        <v>23</v>
      </c>
      <c r="H1662" s="4">
        <v>5.3</v>
      </c>
      <c r="I1662" t="s">
        <v>46</v>
      </c>
      <c r="J1662" t="s">
        <v>33</v>
      </c>
      <c r="K1662" t="s">
        <v>47</v>
      </c>
      <c r="L1662">
        <f t="shared" si="50"/>
        <v>2021</v>
      </c>
      <c r="M1662" t="str">
        <f t="shared" si="51"/>
        <v>COVID Period</v>
      </c>
    </row>
    <row r="1663" spans="1:13" x14ac:dyDescent="0.25">
      <c r="A1663" s="2">
        <v>44361</v>
      </c>
      <c r="B1663" t="s">
        <v>43</v>
      </c>
      <c r="C1663">
        <v>28</v>
      </c>
      <c r="D1663" s="3">
        <v>5.77</v>
      </c>
      <c r="E1663" s="3">
        <v>161.56</v>
      </c>
      <c r="F1663">
        <v>46</v>
      </c>
      <c r="G1663">
        <v>19</v>
      </c>
      <c r="H1663" s="4">
        <v>4</v>
      </c>
      <c r="I1663" t="s">
        <v>46</v>
      </c>
      <c r="J1663" t="s">
        <v>33</v>
      </c>
      <c r="L1663">
        <f t="shared" si="50"/>
        <v>2021</v>
      </c>
      <c r="M1663" t="str">
        <f t="shared" si="51"/>
        <v>COVID Period</v>
      </c>
    </row>
    <row r="1664" spans="1:13" x14ac:dyDescent="0.25">
      <c r="A1664" s="2">
        <v>44361</v>
      </c>
      <c r="B1664" t="s">
        <v>44</v>
      </c>
      <c r="C1664">
        <v>1</v>
      </c>
      <c r="D1664" s="3">
        <v>4.97</v>
      </c>
      <c r="E1664" s="3">
        <v>4.97</v>
      </c>
      <c r="F1664">
        <v>3</v>
      </c>
      <c r="G1664">
        <v>2</v>
      </c>
      <c r="H1664" s="4">
        <v>2.8</v>
      </c>
      <c r="I1664" t="s">
        <v>46</v>
      </c>
      <c r="J1664" t="s">
        <v>46</v>
      </c>
      <c r="K1664" t="s">
        <v>47</v>
      </c>
      <c r="L1664">
        <f t="shared" si="50"/>
        <v>2021</v>
      </c>
      <c r="M1664" t="str">
        <f t="shared" si="51"/>
        <v>COVID Period</v>
      </c>
    </row>
    <row r="1665" spans="1:13" x14ac:dyDescent="0.25">
      <c r="A1665" s="2">
        <v>44361</v>
      </c>
      <c r="B1665" t="s">
        <v>45</v>
      </c>
      <c r="C1665">
        <v>0</v>
      </c>
      <c r="D1665" s="3">
        <v>14.4</v>
      </c>
      <c r="E1665" s="3">
        <v>0</v>
      </c>
      <c r="F1665">
        <v>3</v>
      </c>
      <c r="G1665">
        <v>3</v>
      </c>
      <c r="H1665" s="4">
        <v>3.1</v>
      </c>
      <c r="I1665" t="s">
        <v>46</v>
      </c>
      <c r="J1665" t="s">
        <v>33</v>
      </c>
      <c r="L1665">
        <f t="shared" si="50"/>
        <v>2021</v>
      </c>
      <c r="M1665" t="str">
        <f t="shared" si="51"/>
        <v>COVID Period</v>
      </c>
    </row>
    <row r="1666" spans="1:13" x14ac:dyDescent="0.25">
      <c r="A1666" s="2">
        <v>44368</v>
      </c>
      <c r="B1666" t="s">
        <v>32</v>
      </c>
      <c r="C1666">
        <v>20</v>
      </c>
      <c r="D1666" s="3">
        <v>6.64</v>
      </c>
      <c r="E1666" s="3">
        <v>132.80000000000001</v>
      </c>
      <c r="F1666">
        <v>31</v>
      </c>
      <c r="G1666">
        <v>15</v>
      </c>
      <c r="H1666" s="4">
        <v>1.7</v>
      </c>
      <c r="I1666" t="s">
        <v>33</v>
      </c>
      <c r="J1666" t="s">
        <v>33</v>
      </c>
      <c r="L1666">
        <f t="shared" ref="L1666:L1729" si="52">YEAR(A1666)</f>
        <v>2021</v>
      </c>
      <c r="M1666" t="str">
        <f t="shared" ref="M1666:M1729" si="53">IF(L1666=2019,"Pre-COVID","COVID Period")</f>
        <v>COVID Period</v>
      </c>
    </row>
    <row r="1667" spans="1:13" x14ac:dyDescent="0.25">
      <c r="A1667" s="2">
        <v>44368</v>
      </c>
      <c r="B1667" t="s">
        <v>34</v>
      </c>
      <c r="C1667">
        <v>19</v>
      </c>
      <c r="D1667" s="3">
        <v>6.86</v>
      </c>
      <c r="E1667" s="3">
        <v>130.34</v>
      </c>
      <c r="F1667">
        <v>29</v>
      </c>
      <c r="G1667">
        <v>11</v>
      </c>
      <c r="H1667" s="4">
        <v>2.1</v>
      </c>
      <c r="I1667" t="s">
        <v>33</v>
      </c>
      <c r="J1667" t="s">
        <v>33</v>
      </c>
      <c r="L1667">
        <f t="shared" si="52"/>
        <v>2021</v>
      </c>
      <c r="M1667" t="str">
        <f t="shared" si="53"/>
        <v>COVID Period</v>
      </c>
    </row>
    <row r="1668" spans="1:13" x14ac:dyDescent="0.25">
      <c r="A1668" s="2">
        <v>44368</v>
      </c>
      <c r="B1668" t="s">
        <v>35</v>
      </c>
      <c r="C1668">
        <v>11</v>
      </c>
      <c r="D1668" s="3">
        <v>5.96</v>
      </c>
      <c r="E1668" s="3">
        <v>65.56</v>
      </c>
      <c r="F1668">
        <v>16</v>
      </c>
      <c r="G1668">
        <v>5</v>
      </c>
      <c r="H1668" s="4">
        <v>1.6</v>
      </c>
      <c r="I1668" t="s">
        <v>33</v>
      </c>
      <c r="J1668" t="s">
        <v>33</v>
      </c>
      <c r="L1668">
        <f t="shared" si="52"/>
        <v>2021</v>
      </c>
      <c r="M1668" t="str">
        <f t="shared" si="53"/>
        <v>COVID Period</v>
      </c>
    </row>
    <row r="1669" spans="1:13" x14ac:dyDescent="0.25">
      <c r="A1669" s="2">
        <v>44368</v>
      </c>
      <c r="B1669" t="s">
        <v>36</v>
      </c>
      <c r="C1669">
        <v>12</v>
      </c>
      <c r="D1669" s="3">
        <v>5.95</v>
      </c>
      <c r="E1669" s="3">
        <v>71.400000000000006</v>
      </c>
      <c r="F1669">
        <v>13</v>
      </c>
      <c r="G1669">
        <v>1</v>
      </c>
      <c r="H1669" s="4">
        <v>0</v>
      </c>
      <c r="I1669" t="s">
        <v>33</v>
      </c>
      <c r="J1669" t="s">
        <v>33</v>
      </c>
      <c r="L1669">
        <f t="shared" si="52"/>
        <v>2021</v>
      </c>
      <c r="M1669" t="str">
        <f t="shared" si="53"/>
        <v>COVID Period</v>
      </c>
    </row>
    <row r="1670" spans="1:13" x14ac:dyDescent="0.25">
      <c r="A1670" s="2">
        <v>44368</v>
      </c>
      <c r="B1670" t="s">
        <v>37</v>
      </c>
      <c r="C1670">
        <v>20</v>
      </c>
      <c r="D1670" s="3">
        <v>3.23</v>
      </c>
      <c r="E1670" s="3">
        <v>64.599999999999994</v>
      </c>
      <c r="F1670">
        <v>33</v>
      </c>
      <c r="G1670">
        <v>16</v>
      </c>
      <c r="H1670" s="4">
        <v>1.8</v>
      </c>
      <c r="I1670" t="s">
        <v>33</v>
      </c>
      <c r="J1670" t="s">
        <v>33</v>
      </c>
      <c r="L1670">
        <f t="shared" si="52"/>
        <v>2021</v>
      </c>
      <c r="M1670" t="str">
        <f t="shared" si="53"/>
        <v>COVID Period</v>
      </c>
    </row>
    <row r="1671" spans="1:13" x14ac:dyDescent="0.25">
      <c r="A1671" s="2">
        <v>44368</v>
      </c>
      <c r="B1671" t="s">
        <v>38</v>
      </c>
      <c r="C1671">
        <v>10</v>
      </c>
      <c r="D1671" s="3">
        <v>8.1999999999999993</v>
      </c>
      <c r="E1671" s="3">
        <v>82</v>
      </c>
      <c r="F1671">
        <v>11</v>
      </c>
      <c r="G1671">
        <v>2</v>
      </c>
      <c r="H1671" s="4">
        <v>1.1000000000000001</v>
      </c>
      <c r="I1671" t="s">
        <v>33</v>
      </c>
      <c r="J1671" t="s">
        <v>33</v>
      </c>
      <c r="L1671">
        <f t="shared" si="52"/>
        <v>2021</v>
      </c>
      <c r="M1671" t="str">
        <f t="shared" si="53"/>
        <v>COVID Period</v>
      </c>
    </row>
    <row r="1672" spans="1:13" x14ac:dyDescent="0.25">
      <c r="A1672" s="2">
        <v>44368</v>
      </c>
      <c r="B1672" t="s">
        <v>39</v>
      </c>
      <c r="C1672">
        <v>17</v>
      </c>
      <c r="D1672" s="3">
        <v>11.29</v>
      </c>
      <c r="E1672" s="3">
        <v>191.93</v>
      </c>
      <c r="F1672">
        <v>22</v>
      </c>
      <c r="G1672">
        <v>6</v>
      </c>
      <c r="H1672" s="4">
        <v>1.9</v>
      </c>
      <c r="I1672" t="s">
        <v>33</v>
      </c>
      <c r="J1672" t="s">
        <v>33</v>
      </c>
      <c r="L1672">
        <f t="shared" si="52"/>
        <v>2021</v>
      </c>
      <c r="M1672" t="str">
        <f t="shared" si="53"/>
        <v>COVID Period</v>
      </c>
    </row>
    <row r="1673" spans="1:13" x14ac:dyDescent="0.25">
      <c r="A1673" s="2">
        <v>44368</v>
      </c>
      <c r="B1673" t="s">
        <v>40</v>
      </c>
      <c r="C1673">
        <v>31</v>
      </c>
      <c r="D1673" s="3">
        <v>0.66</v>
      </c>
      <c r="E1673" s="3">
        <v>20.46</v>
      </c>
      <c r="F1673">
        <v>35</v>
      </c>
      <c r="G1673">
        <v>8</v>
      </c>
      <c r="H1673" s="4">
        <v>3.8</v>
      </c>
      <c r="I1673" t="s">
        <v>46</v>
      </c>
      <c r="J1673" t="s">
        <v>33</v>
      </c>
      <c r="K1673" t="s">
        <v>47</v>
      </c>
      <c r="L1673">
        <f t="shared" si="52"/>
        <v>2021</v>
      </c>
      <c r="M1673" t="str">
        <f t="shared" si="53"/>
        <v>COVID Period</v>
      </c>
    </row>
    <row r="1674" spans="1:13" x14ac:dyDescent="0.25">
      <c r="A1674" s="2">
        <v>44368</v>
      </c>
      <c r="B1674" t="s">
        <v>41</v>
      </c>
      <c r="C1674">
        <v>27</v>
      </c>
      <c r="D1674" s="3">
        <v>1.4</v>
      </c>
      <c r="E1674" s="3">
        <v>37.799999999999997</v>
      </c>
      <c r="F1674">
        <v>29</v>
      </c>
      <c r="G1674">
        <v>6</v>
      </c>
      <c r="H1674" s="4">
        <v>1.1000000000000001</v>
      </c>
      <c r="I1674" t="s">
        <v>46</v>
      </c>
      <c r="J1674" t="s">
        <v>33</v>
      </c>
      <c r="K1674" t="s">
        <v>47</v>
      </c>
      <c r="L1674">
        <f t="shared" si="52"/>
        <v>2021</v>
      </c>
      <c r="M1674" t="str">
        <f t="shared" si="53"/>
        <v>COVID Period</v>
      </c>
    </row>
    <row r="1675" spans="1:13" x14ac:dyDescent="0.25">
      <c r="A1675" s="2">
        <v>44368</v>
      </c>
      <c r="B1675" t="s">
        <v>42</v>
      </c>
      <c r="C1675">
        <v>35</v>
      </c>
      <c r="D1675" s="3">
        <v>4.25</v>
      </c>
      <c r="E1675" s="3">
        <v>148.75</v>
      </c>
      <c r="F1675">
        <v>47</v>
      </c>
      <c r="G1675">
        <v>19</v>
      </c>
      <c r="H1675" s="4">
        <v>6</v>
      </c>
      <c r="I1675" t="s">
        <v>46</v>
      </c>
      <c r="J1675" t="s">
        <v>33</v>
      </c>
      <c r="K1675" t="s">
        <v>47</v>
      </c>
      <c r="L1675">
        <f t="shared" si="52"/>
        <v>2021</v>
      </c>
      <c r="M1675" t="str">
        <f t="shared" si="53"/>
        <v>COVID Period</v>
      </c>
    </row>
    <row r="1676" spans="1:13" x14ac:dyDescent="0.25">
      <c r="A1676" s="2">
        <v>44368</v>
      </c>
      <c r="B1676" t="s">
        <v>43</v>
      </c>
      <c r="C1676">
        <v>13</v>
      </c>
      <c r="D1676" s="3">
        <v>5.3</v>
      </c>
      <c r="E1676" s="3">
        <v>68.900000000000006</v>
      </c>
      <c r="F1676">
        <v>14</v>
      </c>
      <c r="G1676">
        <v>1</v>
      </c>
      <c r="H1676" s="4">
        <v>3.8</v>
      </c>
      <c r="I1676" t="s">
        <v>46</v>
      </c>
      <c r="J1676" t="s">
        <v>33</v>
      </c>
      <c r="L1676">
        <f t="shared" si="52"/>
        <v>2021</v>
      </c>
      <c r="M1676" t="str">
        <f t="shared" si="53"/>
        <v>COVID Period</v>
      </c>
    </row>
    <row r="1677" spans="1:13" x14ac:dyDescent="0.25">
      <c r="A1677" s="2">
        <v>44368</v>
      </c>
      <c r="B1677" t="s">
        <v>44</v>
      </c>
      <c r="C1677">
        <v>1</v>
      </c>
      <c r="D1677" s="3">
        <v>4.9400000000000004</v>
      </c>
      <c r="E1677" s="3">
        <v>4.9400000000000004</v>
      </c>
      <c r="F1677">
        <v>3</v>
      </c>
      <c r="G1677">
        <v>2</v>
      </c>
      <c r="H1677" s="4">
        <v>4.0999999999999996</v>
      </c>
      <c r="I1677" t="s">
        <v>46</v>
      </c>
      <c r="J1677" t="s">
        <v>33</v>
      </c>
      <c r="K1677" t="s">
        <v>47</v>
      </c>
      <c r="L1677">
        <f t="shared" si="52"/>
        <v>2021</v>
      </c>
      <c r="M1677" t="str">
        <f t="shared" si="53"/>
        <v>COVID Period</v>
      </c>
    </row>
    <row r="1678" spans="1:13" x14ac:dyDescent="0.25">
      <c r="A1678" s="2">
        <v>44368</v>
      </c>
      <c r="B1678" t="s">
        <v>45</v>
      </c>
      <c r="C1678">
        <v>0</v>
      </c>
      <c r="D1678" s="3">
        <v>15.65</v>
      </c>
      <c r="E1678" s="3">
        <v>0</v>
      </c>
      <c r="F1678">
        <v>3</v>
      </c>
      <c r="G1678">
        <v>3</v>
      </c>
      <c r="H1678" s="4">
        <v>2.1</v>
      </c>
      <c r="I1678" t="s">
        <v>46</v>
      </c>
      <c r="J1678" t="s">
        <v>33</v>
      </c>
      <c r="L1678">
        <f t="shared" si="52"/>
        <v>2021</v>
      </c>
      <c r="M1678" t="str">
        <f t="shared" si="53"/>
        <v>COVID Period</v>
      </c>
    </row>
    <row r="1679" spans="1:13" x14ac:dyDescent="0.25">
      <c r="A1679" s="2">
        <v>44375</v>
      </c>
      <c r="B1679" t="s">
        <v>32</v>
      </c>
      <c r="C1679">
        <v>11</v>
      </c>
      <c r="D1679" s="3">
        <v>6.95</v>
      </c>
      <c r="E1679" s="3">
        <v>76.45</v>
      </c>
      <c r="F1679">
        <v>15</v>
      </c>
      <c r="G1679">
        <v>5</v>
      </c>
      <c r="H1679" s="4">
        <v>2.2999999999999998</v>
      </c>
      <c r="I1679" t="s">
        <v>33</v>
      </c>
      <c r="J1679" t="s">
        <v>33</v>
      </c>
      <c r="L1679">
        <f t="shared" si="52"/>
        <v>2021</v>
      </c>
      <c r="M1679" t="str">
        <f t="shared" si="53"/>
        <v>COVID Period</v>
      </c>
    </row>
    <row r="1680" spans="1:13" x14ac:dyDescent="0.25">
      <c r="A1680" s="2">
        <v>44375</v>
      </c>
      <c r="B1680" t="s">
        <v>34</v>
      </c>
      <c r="C1680">
        <v>15</v>
      </c>
      <c r="D1680" s="3">
        <v>7.44</v>
      </c>
      <c r="E1680" s="3">
        <v>111.6</v>
      </c>
      <c r="F1680">
        <v>17</v>
      </c>
      <c r="G1680">
        <v>3</v>
      </c>
      <c r="H1680" s="4">
        <v>1.4</v>
      </c>
      <c r="I1680" t="s">
        <v>33</v>
      </c>
      <c r="J1680" t="s">
        <v>33</v>
      </c>
      <c r="L1680">
        <f t="shared" si="52"/>
        <v>2021</v>
      </c>
      <c r="M1680" t="str">
        <f t="shared" si="53"/>
        <v>COVID Period</v>
      </c>
    </row>
    <row r="1681" spans="1:13" x14ac:dyDescent="0.25">
      <c r="A1681" s="2">
        <v>44375</v>
      </c>
      <c r="B1681" t="s">
        <v>35</v>
      </c>
      <c r="C1681">
        <v>11</v>
      </c>
      <c r="D1681" s="3">
        <v>5.71</v>
      </c>
      <c r="E1681" s="3">
        <v>62.81</v>
      </c>
      <c r="F1681">
        <v>12</v>
      </c>
      <c r="G1681">
        <v>3</v>
      </c>
      <c r="H1681" s="4">
        <v>1.6</v>
      </c>
      <c r="I1681" t="s">
        <v>33</v>
      </c>
      <c r="J1681" t="s">
        <v>33</v>
      </c>
      <c r="L1681">
        <f t="shared" si="52"/>
        <v>2021</v>
      </c>
      <c r="M1681" t="str">
        <f t="shared" si="53"/>
        <v>COVID Period</v>
      </c>
    </row>
    <row r="1682" spans="1:13" x14ac:dyDescent="0.25">
      <c r="A1682" s="2">
        <v>44375</v>
      </c>
      <c r="B1682" t="s">
        <v>36</v>
      </c>
      <c r="C1682">
        <v>9</v>
      </c>
      <c r="D1682" s="3">
        <v>6.41</v>
      </c>
      <c r="E1682" s="3">
        <v>57.69</v>
      </c>
      <c r="F1682">
        <v>14</v>
      </c>
      <c r="G1682">
        <v>6</v>
      </c>
      <c r="H1682" s="4">
        <v>1.2</v>
      </c>
      <c r="I1682" t="s">
        <v>33</v>
      </c>
      <c r="J1682" t="s">
        <v>33</v>
      </c>
      <c r="L1682">
        <f t="shared" si="52"/>
        <v>2021</v>
      </c>
      <c r="M1682" t="str">
        <f t="shared" si="53"/>
        <v>COVID Period</v>
      </c>
    </row>
    <row r="1683" spans="1:13" x14ac:dyDescent="0.25">
      <c r="A1683" s="2">
        <v>44375</v>
      </c>
      <c r="B1683" t="s">
        <v>37</v>
      </c>
      <c r="C1683">
        <v>30</v>
      </c>
      <c r="D1683" s="3">
        <v>3.29</v>
      </c>
      <c r="E1683" s="3">
        <v>98.7</v>
      </c>
      <c r="F1683">
        <v>36</v>
      </c>
      <c r="G1683">
        <v>7</v>
      </c>
      <c r="H1683" s="4">
        <v>2.2000000000000002</v>
      </c>
      <c r="I1683" t="s">
        <v>33</v>
      </c>
      <c r="J1683" t="s">
        <v>33</v>
      </c>
      <c r="L1683">
        <f t="shared" si="52"/>
        <v>2021</v>
      </c>
      <c r="M1683" t="str">
        <f t="shared" si="53"/>
        <v>COVID Period</v>
      </c>
    </row>
    <row r="1684" spans="1:13" x14ac:dyDescent="0.25">
      <c r="A1684" s="2">
        <v>44375</v>
      </c>
      <c r="B1684" t="s">
        <v>38</v>
      </c>
      <c r="C1684">
        <v>13</v>
      </c>
      <c r="D1684" s="3">
        <v>8.44</v>
      </c>
      <c r="E1684" s="3">
        <v>109.72</v>
      </c>
      <c r="F1684">
        <v>18</v>
      </c>
      <c r="G1684">
        <v>7</v>
      </c>
      <c r="H1684" s="4">
        <v>1.8</v>
      </c>
      <c r="I1684" t="s">
        <v>33</v>
      </c>
      <c r="J1684" t="s">
        <v>33</v>
      </c>
      <c r="L1684">
        <f t="shared" si="52"/>
        <v>2021</v>
      </c>
      <c r="M1684" t="str">
        <f t="shared" si="53"/>
        <v>COVID Period</v>
      </c>
    </row>
    <row r="1685" spans="1:13" x14ac:dyDescent="0.25">
      <c r="A1685" s="2">
        <v>44375</v>
      </c>
      <c r="B1685" t="s">
        <v>39</v>
      </c>
      <c r="C1685">
        <v>21</v>
      </c>
      <c r="D1685" s="3">
        <v>11.8</v>
      </c>
      <c r="E1685" s="3">
        <v>247.8</v>
      </c>
      <c r="F1685">
        <v>33</v>
      </c>
      <c r="G1685">
        <v>12</v>
      </c>
      <c r="H1685" s="4">
        <v>2.9</v>
      </c>
      <c r="I1685" t="s">
        <v>33</v>
      </c>
      <c r="J1685" t="s">
        <v>33</v>
      </c>
      <c r="L1685">
        <f t="shared" si="52"/>
        <v>2021</v>
      </c>
      <c r="M1685" t="str">
        <f t="shared" si="53"/>
        <v>COVID Period</v>
      </c>
    </row>
    <row r="1686" spans="1:13" x14ac:dyDescent="0.25">
      <c r="A1686" s="2">
        <v>44375</v>
      </c>
      <c r="B1686" t="s">
        <v>40</v>
      </c>
      <c r="C1686">
        <v>49</v>
      </c>
      <c r="D1686" s="3">
        <v>0.67</v>
      </c>
      <c r="E1686" s="3">
        <v>32.83</v>
      </c>
      <c r="F1686">
        <v>56</v>
      </c>
      <c r="G1686">
        <v>16</v>
      </c>
      <c r="H1686" s="4">
        <v>4.4000000000000004</v>
      </c>
      <c r="I1686" t="s">
        <v>46</v>
      </c>
      <c r="J1686" t="s">
        <v>33</v>
      </c>
      <c r="K1686" t="s">
        <v>47</v>
      </c>
      <c r="L1686">
        <f t="shared" si="52"/>
        <v>2021</v>
      </c>
      <c r="M1686" t="str">
        <f t="shared" si="53"/>
        <v>COVID Period</v>
      </c>
    </row>
    <row r="1687" spans="1:13" x14ac:dyDescent="0.25">
      <c r="A1687" s="2">
        <v>44375</v>
      </c>
      <c r="B1687" t="s">
        <v>41</v>
      </c>
      <c r="C1687">
        <v>20</v>
      </c>
      <c r="D1687" s="3">
        <v>1.32</v>
      </c>
      <c r="E1687" s="3">
        <v>26.4</v>
      </c>
      <c r="F1687">
        <v>28</v>
      </c>
      <c r="G1687">
        <v>11</v>
      </c>
      <c r="H1687" s="4">
        <v>5.0999999999999996</v>
      </c>
      <c r="I1687" t="s">
        <v>46</v>
      </c>
      <c r="J1687" t="s">
        <v>33</v>
      </c>
      <c r="K1687" t="s">
        <v>47</v>
      </c>
      <c r="L1687">
        <f t="shared" si="52"/>
        <v>2021</v>
      </c>
      <c r="M1687" t="str">
        <f t="shared" si="53"/>
        <v>COVID Period</v>
      </c>
    </row>
    <row r="1688" spans="1:13" x14ac:dyDescent="0.25">
      <c r="A1688" s="2">
        <v>44375</v>
      </c>
      <c r="B1688" t="s">
        <v>42</v>
      </c>
      <c r="C1688">
        <v>29</v>
      </c>
      <c r="D1688" s="3">
        <v>4.07</v>
      </c>
      <c r="E1688" s="3">
        <v>118.03</v>
      </c>
      <c r="F1688">
        <v>44</v>
      </c>
      <c r="G1688">
        <v>18</v>
      </c>
      <c r="H1688" s="4">
        <v>3.2</v>
      </c>
      <c r="I1688" t="s">
        <v>46</v>
      </c>
      <c r="J1688" t="s">
        <v>33</v>
      </c>
      <c r="K1688" t="s">
        <v>47</v>
      </c>
      <c r="L1688">
        <f t="shared" si="52"/>
        <v>2021</v>
      </c>
      <c r="M1688" t="str">
        <f t="shared" si="53"/>
        <v>COVID Period</v>
      </c>
    </row>
    <row r="1689" spans="1:13" x14ac:dyDescent="0.25">
      <c r="A1689" s="2">
        <v>44375</v>
      </c>
      <c r="B1689" t="s">
        <v>43</v>
      </c>
      <c r="C1689">
        <v>22</v>
      </c>
      <c r="D1689" s="3">
        <v>5.56</v>
      </c>
      <c r="E1689" s="3">
        <v>122.32</v>
      </c>
      <c r="F1689">
        <v>31</v>
      </c>
      <c r="G1689">
        <v>10</v>
      </c>
      <c r="H1689" s="4">
        <v>3.6</v>
      </c>
      <c r="I1689" t="s">
        <v>46</v>
      </c>
      <c r="J1689" t="s">
        <v>33</v>
      </c>
      <c r="L1689">
        <f t="shared" si="52"/>
        <v>2021</v>
      </c>
      <c r="M1689" t="str">
        <f t="shared" si="53"/>
        <v>COVID Period</v>
      </c>
    </row>
    <row r="1690" spans="1:13" x14ac:dyDescent="0.25">
      <c r="A1690" s="2">
        <v>44375</v>
      </c>
      <c r="B1690" t="s">
        <v>44</v>
      </c>
      <c r="C1690">
        <v>0</v>
      </c>
      <c r="D1690" s="3">
        <v>4.8899999999999997</v>
      </c>
      <c r="E1690" s="3">
        <v>0</v>
      </c>
      <c r="F1690">
        <v>3</v>
      </c>
      <c r="G1690">
        <v>3</v>
      </c>
      <c r="H1690" s="4">
        <v>2.4</v>
      </c>
      <c r="I1690" t="s">
        <v>46</v>
      </c>
      <c r="J1690" t="s">
        <v>33</v>
      </c>
      <c r="K1690" t="s">
        <v>47</v>
      </c>
      <c r="L1690">
        <f t="shared" si="52"/>
        <v>2021</v>
      </c>
      <c r="M1690" t="str">
        <f t="shared" si="53"/>
        <v>COVID Period</v>
      </c>
    </row>
    <row r="1691" spans="1:13" x14ac:dyDescent="0.25">
      <c r="A1691" s="2">
        <v>44375</v>
      </c>
      <c r="B1691" t="s">
        <v>45</v>
      </c>
      <c r="C1691">
        <v>1</v>
      </c>
      <c r="D1691" s="3">
        <v>14.43</v>
      </c>
      <c r="E1691" s="3">
        <v>14.43</v>
      </c>
      <c r="F1691">
        <v>3</v>
      </c>
      <c r="G1691">
        <v>2</v>
      </c>
      <c r="H1691" s="4">
        <v>2.6</v>
      </c>
      <c r="I1691" t="s">
        <v>46</v>
      </c>
      <c r="J1691" t="s">
        <v>33</v>
      </c>
      <c r="L1691">
        <f t="shared" si="52"/>
        <v>2021</v>
      </c>
      <c r="M1691" t="str">
        <f t="shared" si="53"/>
        <v>COVID Period</v>
      </c>
    </row>
    <row r="1692" spans="1:13" x14ac:dyDescent="0.25">
      <c r="A1692" s="2">
        <v>44382</v>
      </c>
      <c r="B1692" t="s">
        <v>32</v>
      </c>
      <c r="C1692">
        <v>20</v>
      </c>
      <c r="D1692" s="3">
        <v>6.75</v>
      </c>
      <c r="E1692" s="3">
        <v>135</v>
      </c>
      <c r="F1692">
        <v>22</v>
      </c>
      <c r="G1692">
        <v>6</v>
      </c>
      <c r="H1692" s="4">
        <v>0.8</v>
      </c>
      <c r="I1692" t="s">
        <v>33</v>
      </c>
      <c r="J1692" t="s">
        <v>33</v>
      </c>
      <c r="L1692">
        <f t="shared" si="52"/>
        <v>2021</v>
      </c>
      <c r="M1692" t="str">
        <f t="shared" si="53"/>
        <v>COVID Period</v>
      </c>
    </row>
    <row r="1693" spans="1:13" x14ac:dyDescent="0.25">
      <c r="A1693" s="2">
        <v>44382</v>
      </c>
      <c r="B1693" t="s">
        <v>34</v>
      </c>
      <c r="C1693">
        <v>14</v>
      </c>
      <c r="D1693" s="3">
        <v>7</v>
      </c>
      <c r="E1693" s="3">
        <v>98</v>
      </c>
      <c r="F1693">
        <v>20</v>
      </c>
      <c r="G1693">
        <v>10</v>
      </c>
      <c r="H1693" s="4">
        <v>2.2999999999999998</v>
      </c>
      <c r="I1693" t="s">
        <v>33</v>
      </c>
      <c r="J1693" t="s">
        <v>33</v>
      </c>
      <c r="L1693">
        <f t="shared" si="52"/>
        <v>2021</v>
      </c>
      <c r="M1693" t="str">
        <f t="shared" si="53"/>
        <v>COVID Period</v>
      </c>
    </row>
    <row r="1694" spans="1:13" x14ac:dyDescent="0.25">
      <c r="A1694" s="2">
        <v>44382</v>
      </c>
      <c r="B1694" t="s">
        <v>35</v>
      </c>
      <c r="C1694">
        <v>6</v>
      </c>
      <c r="D1694" s="3">
        <v>5.94</v>
      </c>
      <c r="E1694" s="3">
        <v>35.64</v>
      </c>
      <c r="F1694">
        <v>8</v>
      </c>
      <c r="G1694">
        <v>3</v>
      </c>
      <c r="H1694" s="4">
        <v>1.5</v>
      </c>
      <c r="I1694" t="s">
        <v>33</v>
      </c>
      <c r="J1694" t="s">
        <v>33</v>
      </c>
      <c r="L1694">
        <f t="shared" si="52"/>
        <v>2021</v>
      </c>
      <c r="M1694" t="str">
        <f t="shared" si="53"/>
        <v>COVID Period</v>
      </c>
    </row>
    <row r="1695" spans="1:13" x14ac:dyDescent="0.25">
      <c r="A1695" s="2">
        <v>44382</v>
      </c>
      <c r="B1695" t="s">
        <v>36</v>
      </c>
      <c r="C1695">
        <v>10</v>
      </c>
      <c r="D1695" s="3">
        <v>6.41</v>
      </c>
      <c r="E1695" s="3">
        <v>64.099999999999994</v>
      </c>
      <c r="F1695">
        <v>11</v>
      </c>
      <c r="G1695">
        <v>1</v>
      </c>
      <c r="H1695" s="4">
        <v>2.2999999999999998</v>
      </c>
      <c r="I1695" t="s">
        <v>33</v>
      </c>
      <c r="J1695" t="s">
        <v>33</v>
      </c>
      <c r="L1695">
        <f t="shared" si="52"/>
        <v>2021</v>
      </c>
      <c r="M1695" t="str">
        <f t="shared" si="53"/>
        <v>COVID Period</v>
      </c>
    </row>
    <row r="1696" spans="1:13" x14ac:dyDescent="0.25">
      <c r="A1696" s="2">
        <v>44382</v>
      </c>
      <c r="B1696" t="s">
        <v>37</v>
      </c>
      <c r="C1696">
        <v>34</v>
      </c>
      <c r="D1696" s="3">
        <v>3.26</v>
      </c>
      <c r="E1696" s="3">
        <v>110.84</v>
      </c>
      <c r="F1696">
        <v>49</v>
      </c>
      <c r="G1696">
        <v>22</v>
      </c>
      <c r="H1696" s="4">
        <v>1</v>
      </c>
      <c r="I1696" t="s">
        <v>33</v>
      </c>
      <c r="J1696" t="s">
        <v>33</v>
      </c>
      <c r="L1696">
        <f t="shared" si="52"/>
        <v>2021</v>
      </c>
      <c r="M1696" t="str">
        <f t="shared" si="53"/>
        <v>COVID Period</v>
      </c>
    </row>
    <row r="1697" spans="1:13" x14ac:dyDescent="0.25">
      <c r="A1697" s="2">
        <v>44382</v>
      </c>
      <c r="B1697" t="s">
        <v>38</v>
      </c>
      <c r="C1697">
        <v>13</v>
      </c>
      <c r="D1697" s="3">
        <v>8.8699999999999992</v>
      </c>
      <c r="E1697" s="3">
        <v>115.31</v>
      </c>
      <c r="F1697">
        <v>21</v>
      </c>
      <c r="G1697">
        <v>9</v>
      </c>
      <c r="H1697" s="4">
        <v>1</v>
      </c>
      <c r="I1697" t="s">
        <v>33</v>
      </c>
      <c r="J1697" t="s">
        <v>33</v>
      </c>
      <c r="L1697">
        <f t="shared" si="52"/>
        <v>2021</v>
      </c>
      <c r="M1697" t="str">
        <f t="shared" si="53"/>
        <v>COVID Period</v>
      </c>
    </row>
    <row r="1698" spans="1:13" x14ac:dyDescent="0.25">
      <c r="A1698" s="2">
        <v>44382</v>
      </c>
      <c r="B1698" t="s">
        <v>39</v>
      </c>
      <c r="C1698">
        <v>26</v>
      </c>
      <c r="D1698" s="3">
        <v>11.37</v>
      </c>
      <c r="E1698" s="3">
        <v>295.62</v>
      </c>
      <c r="F1698">
        <v>37</v>
      </c>
      <c r="G1698">
        <v>13</v>
      </c>
      <c r="H1698" s="4">
        <v>1.9</v>
      </c>
      <c r="I1698" t="s">
        <v>33</v>
      </c>
      <c r="J1698" t="s">
        <v>33</v>
      </c>
      <c r="L1698">
        <f t="shared" si="52"/>
        <v>2021</v>
      </c>
      <c r="M1698" t="str">
        <f t="shared" si="53"/>
        <v>COVID Period</v>
      </c>
    </row>
    <row r="1699" spans="1:13" x14ac:dyDescent="0.25">
      <c r="A1699" s="2">
        <v>44382</v>
      </c>
      <c r="B1699" t="s">
        <v>40</v>
      </c>
      <c r="C1699">
        <v>32</v>
      </c>
      <c r="D1699" s="3">
        <v>0.67</v>
      </c>
      <c r="E1699" s="3">
        <v>21.44</v>
      </c>
      <c r="F1699">
        <v>48</v>
      </c>
      <c r="G1699">
        <v>22</v>
      </c>
      <c r="H1699" s="4">
        <v>3.2</v>
      </c>
      <c r="I1699" t="s">
        <v>46</v>
      </c>
      <c r="J1699" t="s">
        <v>33</v>
      </c>
      <c r="K1699" t="s">
        <v>47</v>
      </c>
      <c r="L1699">
        <f t="shared" si="52"/>
        <v>2021</v>
      </c>
      <c r="M1699" t="str">
        <f t="shared" si="53"/>
        <v>COVID Period</v>
      </c>
    </row>
    <row r="1700" spans="1:13" x14ac:dyDescent="0.25">
      <c r="A1700" s="2">
        <v>44382</v>
      </c>
      <c r="B1700" t="s">
        <v>41</v>
      </c>
      <c r="C1700">
        <v>16</v>
      </c>
      <c r="D1700" s="3">
        <v>1.35</v>
      </c>
      <c r="E1700" s="3">
        <v>21.6</v>
      </c>
      <c r="F1700">
        <v>21</v>
      </c>
      <c r="G1700">
        <v>8</v>
      </c>
      <c r="H1700" s="4">
        <v>2.4</v>
      </c>
      <c r="I1700" t="s">
        <v>46</v>
      </c>
      <c r="J1700" t="s">
        <v>33</v>
      </c>
      <c r="K1700" t="s">
        <v>47</v>
      </c>
      <c r="L1700">
        <f t="shared" si="52"/>
        <v>2021</v>
      </c>
      <c r="M1700" t="str">
        <f t="shared" si="53"/>
        <v>COVID Period</v>
      </c>
    </row>
    <row r="1701" spans="1:13" x14ac:dyDescent="0.25">
      <c r="A1701" s="2">
        <v>44382</v>
      </c>
      <c r="B1701" t="s">
        <v>42</v>
      </c>
      <c r="C1701">
        <v>21</v>
      </c>
      <c r="D1701" s="3">
        <v>4.26</v>
      </c>
      <c r="E1701" s="3">
        <v>89.46</v>
      </c>
      <c r="F1701">
        <v>24</v>
      </c>
      <c r="G1701">
        <v>5</v>
      </c>
      <c r="H1701" s="4">
        <v>2.9</v>
      </c>
      <c r="I1701" t="s">
        <v>46</v>
      </c>
      <c r="J1701" t="s">
        <v>33</v>
      </c>
      <c r="K1701" t="s">
        <v>47</v>
      </c>
      <c r="L1701">
        <f t="shared" si="52"/>
        <v>2021</v>
      </c>
      <c r="M1701" t="str">
        <f t="shared" si="53"/>
        <v>COVID Period</v>
      </c>
    </row>
    <row r="1702" spans="1:13" x14ac:dyDescent="0.25">
      <c r="A1702" s="2">
        <v>44382</v>
      </c>
      <c r="B1702" t="s">
        <v>43</v>
      </c>
      <c r="C1702">
        <v>8</v>
      </c>
      <c r="D1702" s="3">
        <v>5.76</v>
      </c>
      <c r="E1702" s="3">
        <v>46.08</v>
      </c>
      <c r="F1702">
        <v>11</v>
      </c>
      <c r="G1702">
        <v>3</v>
      </c>
      <c r="H1702" s="4">
        <v>2.2000000000000002</v>
      </c>
      <c r="I1702" t="s">
        <v>46</v>
      </c>
      <c r="J1702" t="s">
        <v>33</v>
      </c>
      <c r="L1702">
        <f t="shared" si="52"/>
        <v>2021</v>
      </c>
      <c r="M1702" t="str">
        <f t="shared" si="53"/>
        <v>COVID Period</v>
      </c>
    </row>
    <row r="1703" spans="1:13" x14ac:dyDescent="0.25">
      <c r="A1703" s="2">
        <v>44382</v>
      </c>
      <c r="B1703" t="s">
        <v>44</v>
      </c>
      <c r="C1703">
        <v>1</v>
      </c>
      <c r="D1703" s="3">
        <v>4.92</v>
      </c>
      <c r="E1703" s="3">
        <v>4.92</v>
      </c>
      <c r="F1703">
        <v>3</v>
      </c>
      <c r="G1703">
        <v>2</v>
      </c>
      <c r="H1703" s="4">
        <v>2.5</v>
      </c>
      <c r="I1703" t="s">
        <v>46</v>
      </c>
      <c r="J1703" t="s">
        <v>33</v>
      </c>
      <c r="K1703" t="s">
        <v>47</v>
      </c>
      <c r="L1703">
        <f t="shared" si="52"/>
        <v>2021</v>
      </c>
      <c r="M1703" t="str">
        <f t="shared" si="53"/>
        <v>COVID Period</v>
      </c>
    </row>
    <row r="1704" spans="1:13" x14ac:dyDescent="0.25">
      <c r="A1704" s="2">
        <v>44382</v>
      </c>
      <c r="B1704" t="s">
        <v>45</v>
      </c>
      <c r="C1704">
        <v>0</v>
      </c>
      <c r="D1704" s="3">
        <v>15.14</v>
      </c>
      <c r="E1704" s="3">
        <v>0</v>
      </c>
      <c r="F1704">
        <v>3</v>
      </c>
      <c r="G1704">
        <v>3</v>
      </c>
      <c r="H1704" s="4">
        <v>3.6</v>
      </c>
      <c r="I1704" t="s">
        <v>46</v>
      </c>
      <c r="J1704" t="s">
        <v>33</v>
      </c>
      <c r="L1704">
        <f t="shared" si="52"/>
        <v>2021</v>
      </c>
      <c r="M1704" t="str">
        <f t="shared" si="53"/>
        <v>COVID Period</v>
      </c>
    </row>
    <row r="1705" spans="1:13" x14ac:dyDescent="0.25">
      <c r="A1705" s="2">
        <v>44389</v>
      </c>
      <c r="B1705" t="s">
        <v>32</v>
      </c>
      <c r="C1705">
        <v>24</v>
      </c>
      <c r="D1705" s="3">
        <v>6.81</v>
      </c>
      <c r="E1705" s="3">
        <v>163.44</v>
      </c>
      <c r="F1705">
        <v>33</v>
      </c>
      <c r="G1705">
        <v>12</v>
      </c>
      <c r="H1705" s="4">
        <v>0.9</v>
      </c>
      <c r="I1705" t="s">
        <v>33</v>
      </c>
      <c r="J1705" t="s">
        <v>33</v>
      </c>
      <c r="L1705">
        <f t="shared" si="52"/>
        <v>2021</v>
      </c>
      <c r="M1705" t="str">
        <f t="shared" si="53"/>
        <v>COVID Period</v>
      </c>
    </row>
    <row r="1706" spans="1:13" x14ac:dyDescent="0.25">
      <c r="A1706" s="2">
        <v>44389</v>
      </c>
      <c r="B1706" t="s">
        <v>34</v>
      </c>
      <c r="C1706">
        <v>15</v>
      </c>
      <c r="D1706" s="3">
        <v>6.97</v>
      </c>
      <c r="E1706" s="3">
        <v>104.55</v>
      </c>
      <c r="F1706">
        <v>22</v>
      </c>
      <c r="G1706">
        <v>10</v>
      </c>
      <c r="H1706" s="4">
        <v>2</v>
      </c>
      <c r="I1706" t="s">
        <v>33</v>
      </c>
      <c r="J1706" t="s">
        <v>33</v>
      </c>
      <c r="L1706">
        <f t="shared" si="52"/>
        <v>2021</v>
      </c>
      <c r="M1706" t="str">
        <f t="shared" si="53"/>
        <v>COVID Period</v>
      </c>
    </row>
    <row r="1707" spans="1:13" x14ac:dyDescent="0.25">
      <c r="A1707" s="2">
        <v>44389</v>
      </c>
      <c r="B1707" t="s">
        <v>35</v>
      </c>
      <c r="C1707">
        <v>12</v>
      </c>
      <c r="D1707" s="3">
        <v>5.85</v>
      </c>
      <c r="E1707" s="3">
        <v>70.2</v>
      </c>
      <c r="F1707">
        <v>17</v>
      </c>
      <c r="G1707">
        <v>8</v>
      </c>
      <c r="H1707" s="4">
        <v>2</v>
      </c>
      <c r="I1707" t="s">
        <v>33</v>
      </c>
      <c r="J1707" t="s">
        <v>33</v>
      </c>
      <c r="L1707">
        <f t="shared" si="52"/>
        <v>2021</v>
      </c>
      <c r="M1707" t="str">
        <f t="shared" si="53"/>
        <v>COVID Period</v>
      </c>
    </row>
    <row r="1708" spans="1:13" x14ac:dyDescent="0.25">
      <c r="A1708" s="2">
        <v>44389</v>
      </c>
      <c r="B1708" t="s">
        <v>36</v>
      </c>
      <c r="C1708">
        <v>10</v>
      </c>
      <c r="D1708" s="3">
        <v>6.17</v>
      </c>
      <c r="E1708" s="3">
        <v>61.7</v>
      </c>
      <c r="F1708">
        <v>11</v>
      </c>
      <c r="G1708">
        <v>2</v>
      </c>
      <c r="H1708" s="4">
        <v>1.4</v>
      </c>
      <c r="I1708" t="s">
        <v>33</v>
      </c>
      <c r="J1708" t="s">
        <v>33</v>
      </c>
      <c r="L1708">
        <f t="shared" si="52"/>
        <v>2021</v>
      </c>
      <c r="M1708" t="str">
        <f t="shared" si="53"/>
        <v>COVID Period</v>
      </c>
    </row>
    <row r="1709" spans="1:13" x14ac:dyDescent="0.25">
      <c r="A1709" s="2">
        <v>44389</v>
      </c>
      <c r="B1709" t="s">
        <v>37</v>
      </c>
      <c r="C1709">
        <v>23</v>
      </c>
      <c r="D1709" s="3">
        <v>3.22</v>
      </c>
      <c r="E1709" s="3">
        <v>74.06</v>
      </c>
      <c r="F1709">
        <v>29</v>
      </c>
      <c r="G1709">
        <v>6</v>
      </c>
      <c r="H1709" s="4">
        <v>2.2999999999999998</v>
      </c>
      <c r="I1709" t="s">
        <v>33</v>
      </c>
      <c r="J1709" t="s">
        <v>33</v>
      </c>
      <c r="L1709">
        <f t="shared" si="52"/>
        <v>2021</v>
      </c>
      <c r="M1709" t="str">
        <f t="shared" si="53"/>
        <v>COVID Period</v>
      </c>
    </row>
    <row r="1710" spans="1:13" x14ac:dyDescent="0.25">
      <c r="A1710" s="2">
        <v>44389</v>
      </c>
      <c r="B1710" t="s">
        <v>38</v>
      </c>
      <c r="C1710">
        <v>11</v>
      </c>
      <c r="D1710" s="3">
        <v>8.67</v>
      </c>
      <c r="E1710" s="3">
        <v>95.37</v>
      </c>
      <c r="F1710">
        <v>15</v>
      </c>
      <c r="G1710">
        <v>5</v>
      </c>
      <c r="H1710" s="4">
        <v>2.1</v>
      </c>
      <c r="I1710" t="s">
        <v>33</v>
      </c>
      <c r="J1710" t="s">
        <v>33</v>
      </c>
      <c r="L1710">
        <f t="shared" si="52"/>
        <v>2021</v>
      </c>
      <c r="M1710" t="str">
        <f t="shared" si="53"/>
        <v>COVID Period</v>
      </c>
    </row>
    <row r="1711" spans="1:13" x14ac:dyDescent="0.25">
      <c r="A1711" s="2">
        <v>44389</v>
      </c>
      <c r="B1711" t="s">
        <v>39</v>
      </c>
      <c r="C1711">
        <v>25</v>
      </c>
      <c r="D1711" s="3">
        <v>11.54</v>
      </c>
      <c r="E1711" s="3">
        <v>288.5</v>
      </c>
      <c r="F1711">
        <v>37</v>
      </c>
      <c r="G1711">
        <v>14</v>
      </c>
      <c r="H1711" s="4">
        <v>1.6</v>
      </c>
      <c r="I1711" t="s">
        <v>33</v>
      </c>
      <c r="J1711" t="s">
        <v>33</v>
      </c>
      <c r="L1711">
        <f t="shared" si="52"/>
        <v>2021</v>
      </c>
      <c r="M1711" t="str">
        <f t="shared" si="53"/>
        <v>COVID Period</v>
      </c>
    </row>
    <row r="1712" spans="1:13" x14ac:dyDescent="0.25">
      <c r="A1712" s="2">
        <v>44389</v>
      </c>
      <c r="B1712" t="s">
        <v>40</v>
      </c>
      <c r="C1712">
        <v>25</v>
      </c>
      <c r="D1712" s="3">
        <v>0.65</v>
      </c>
      <c r="E1712" s="3">
        <v>16.25</v>
      </c>
      <c r="F1712">
        <v>41</v>
      </c>
      <c r="G1712">
        <v>21</v>
      </c>
      <c r="H1712" s="4">
        <v>3.4</v>
      </c>
      <c r="I1712" t="s">
        <v>46</v>
      </c>
      <c r="J1712" t="s">
        <v>33</v>
      </c>
      <c r="K1712" t="s">
        <v>47</v>
      </c>
      <c r="L1712">
        <f t="shared" si="52"/>
        <v>2021</v>
      </c>
      <c r="M1712" t="str">
        <f t="shared" si="53"/>
        <v>COVID Period</v>
      </c>
    </row>
    <row r="1713" spans="1:13" x14ac:dyDescent="0.25">
      <c r="A1713" s="2">
        <v>44389</v>
      </c>
      <c r="B1713" t="s">
        <v>41</v>
      </c>
      <c r="C1713">
        <v>18</v>
      </c>
      <c r="D1713" s="3">
        <v>1.42</v>
      </c>
      <c r="E1713" s="3">
        <v>25.56</v>
      </c>
      <c r="F1713">
        <v>19</v>
      </c>
      <c r="G1713">
        <v>3</v>
      </c>
      <c r="H1713" s="4">
        <v>3.4</v>
      </c>
      <c r="I1713" t="s">
        <v>46</v>
      </c>
      <c r="J1713" t="s">
        <v>33</v>
      </c>
      <c r="K1713" t="s">
        <v>47</v>
      </c>
      <c r="L1713">
        <f t="shared" si="52"/>
        <v>2021</v>
      </c>
      <c r="M1713" t="str">
        <f t="shared" si="53"/>
        <v>COVID Period</v>
      </c>
    </row>
    <row r="1714" spans="1:13" x14ac:dyDescent="0.25">
      <c r="A1714" s="2">
        <v>44389</v>
      </c>
      <c r="B1714" t="s">
        <v>42</v>
      </c>
      <c r="C1714">
        <v>19</v>
      </c>
      <c r="D1714" s="3">
        <v>4.22</v>
      </c>
      <c r="E1714" s="3">
        <v>80.180000000000007</v>
      </c>
      <c r="F1714">
        <v>26</v>
      </c>
      <c r="G1714">
        <v>7</v>
      </c>
      <c r="H1714" s="4">
        <v>2.7</v>
      </c>
      <c r="I1714" t="s">
        <v>46</v>
      </c>
      <c r="J1714" t="s">
        <v>33</v>
      </c>
      <c r="K1714" t="s">
        <v>47</v>
      </c>
      <c r="L1714">
        <f t="shared" si="52"/>
        <v>2021</v>
      </c>
      <c r="M1714" t="str">
        <f t="shared" si="53"/>
        <v>COVID Period</v>
      </c>
    </row>
    <row r="1715" spans="1:13" x14ac:dyDescent="0.25">
      <c r="A1715" s="2">
        <v>44389</v>
      </c>
      <c r="B1715" t="s">
        <v>43</v>
      </c>
      <c r="C1715">
        <v>13</v>
      </c>
      <c r="D1715" s="3">
        <v>5.54</v>
      </c>
      <c r="E1715" s="3">
        <v>72.02</v>
      </c>
      <c r="F1715">
        <v>21</v>
      </c>
      <c r="G1715">
        <v>10</v>
      </c>
      <c r="H1715" s="4">
        <v>3.7</v>
      </c>
      <c r="I1715" t="s">
        <v>46</v>
      </c>
      <c r="J1715" t="s">
        <v>33</v>
      </c>
      <c r="L1715">
        <f t="shared" si="52"/>
        <v>2021</v>
      </c>
      <c r="M1715" t="str">
        <f t="shared" si="53"/>
        <v>COVID Period</v>
      </c>
    </row>
    <row r="1716" spans="1:13" x14ac:dyDescent="0.25">
      <c r="A1716" s="2">
        <v>44389</v>
      </c>
      <c r="B1716" t="s">
        <v>44</v>
      </c>
      <c r="C1716">
        <v>3</v>
      </c>
      <c r="D1716" s="3">
        <v>4.9000000000000004</v>
      </c>
      <c r="E1716" s="3">
        <v>14.7</v>
      </c>
      <c r="F1716">
        <v>5</v>
      </c>
      <c r="G1716">
        <v>3</v>
      </c>
      <c r="H1716" s="4">
        <v>2.5</v>
      </c>
      <c r="I1716" t="s">
        <v>46</v>
      </c>
      <c r="J1716" t="s">
        <v>33</v>
      </c>
      <c r="K1716" t="s">
        <v>47</v>
      </c>
      <c r="L1716">
        <f t="shared" si="52"/>
        <v>2021</v>
      </c>
      <c r="M1716" t="str">
        <f t="shared" si="53"/>
        <v>COVID Period</v>
      </c>
    </row>
    <row r="1717" spans="1:13" x14ac:dyDescent="0.25">
      <c r="A1717" s="2">
        <v>44389</v>
      </c>
      <c r="B1717" t="s">
        <v>45</v>
      </c>
      <c r="C1717">
        <v>0</v>
      </c>
      <c r="D1717" s="3">
        <v>14.86</v>
      </c>
      <c r="E1717" s="3">
        <v>0</v>
      </c>
      <c r="F1717">
        <v>3</v>
      </c>
      <c r="G1717">
        <v>3</v>
      </c>
      <c r="H1717" s="4">
        <v>2.8</v>
      </c>
      <c r="I1717" t="s">
        <v>46</v>
      </c>
      <c r="J1717" t="s">
        <v>33</v>
      </c>
      <c r="L1717">
        <f t="shared" si="52"/>
        <v>2021</v>
      </c>
      <c r="M1717" t="str">
        <f t="shared" si="53"/>
        <v>COVID Period</v>
      </c>
    </row>
    <row r="1718" spans="1:13" x14ac:dyDescent="0.25">
      <c r="A1718" s="2">
        <v>44396</v>
      </c>
      <c r="B1718" t="s">
        <v>32</v>
      </c>
      <c r="C1718">
        <v>18</v>
      </c>
      <c r="D1718" s="3">
        <v>7</v>
      </c>
      <c r="E1718" s="3">
        <v>126</v>
      </c>
      <c r="F1718">
        <v>28</v>
      </c>
      <c r="G1718">
        <v>10</v>
      </c>
      <c r="H1718" s="4">
        <v>1.5</v>
      </c>
      <c r="I1718" t="s">
        <v>33</v>
      </c>
      <c r="J1718" t="s">
        <v>33</v>
      </c>
      <c r="L1718">
        <f t="shared" si="52"/>
        <v>2021</v>
      </c>
      <c r="M1718" t="str">
        <f t="shared" si="53"/>
        <v>COVID Period</v>
      </c>
    </row>
    <row r="1719" spans="1:13" x14ac:dyDescent="0.25">
      <c r="A1719" s="2">
        <v>44396</v>
      </c>
      <c r="B1719" t="s">
        <v>34</v>
      </c>
      <c r="C1719">
        <v>20</v>
      </c>
      <c r="D1719" s="3">
        <v>7.45</v>
      </c>
      <c r="E1719" s="3">
        <v>149</v>
      </c>
      <c r="F1719">
        <v>33</v>
      </c>
      <c r="G1719">
        <v>16</v>
      </c>
      <c r="H1719" s="4">
        <v>0.7</v>
      </c>
      <c r="I1719" t="s">
        <v>33</v>
      </c>
      <c r="J1719" t="s">
        <v>33</v>
      </c>
      <c r="L1719">
        <f t="shared" si="52"/>
        <v>2021</v>
      </c>
      <c r="M1719" t="str">
        <f t="shared" si="53"/>
        <v>COVID Period</v>
      </c>
    </row>
    <row r="1720" spans="1:13" x14ac:dyDescent="0.25">
      <c r="A1720" s="2">
        <v>44396</v>
      </c>
      <c r="B1720" t="s">
        <v>35</v>
      </c>
      <c r="C1720">
        <v>9</v>
      </c>
      <c r="D1720" s="3">
        <v>5.97</v>
      </c>
      <c r="E1720" s="3">
        <v>53.73</v>
      </c>
      <c r="F1720">
        <v>13</v>
      </c>
      <c r="G1720">
        <v>4</v>
      </c>
      <c r="H1720" s="4">
        <v>1.9</v>
      </c>
      <c r="I1720" t="s">
        <v>33</v>
      </c>
      <c r="J1720" t="s">
        <v>33</v>
      </c>
      <c r="L1720">
        <f t="shared" si="52"/>
        <v>2021</v>
      </c>
      <c r="M1720" t="str">
        <f t="shared" si="53"/>
        <v>COVID Period</v>
      </c>
    </row>
    <row r="1721" spans="1:13" x14ac:dyDescent="0.25">
      <c r="A1721" s="2">
        <v>44396</v>
      </c>
      <c r="B1721" t="s">
        <v>36</v>
      </c>
      <c r="C1721">
        <v>7</v>
      </c>
      <c r="D1721" s="3">
        <v>6.29</v>
      </c>
      <c r="E1721" s="3">
        <v>44.03</v>
      </c>
      <c r="F1721">
        <v>11</v>
      </c>
      <c r="G1721">
        <v>6</v>
      </c>
      <c r="H1721" s="4">
        <v>1.3</v>
      </c>
      <c r="I1721" t="s">
        <v>33</v>
      </c>
      <c r="J1721" t="s">
        <v>33</v>
      </c>
      <c r="L1721">
        <f t="shared" si="52"/>
        <v>2021</v>
      </c>
      <c r="M1721" t="str">
        <f t="shared" si="53"/>
        <v>COVID Period</v>
      </c>
    </row>
    <row r="1722" spans="1:13" x14ac:dyDescent="0.25">
      <c r="A1722" s="2">
        <v>44396</v>
      </c>
      <c r="B1722" t="s">
        <v>37</v>
      </c>
      <c r="C1722">
        <v>22</v>
      </c>
      <c r="D1722" s="3">
        <v>3.18</v>
      </c>
      <c r="E1722" s="3">
        <v>69.959999999999994</v>
      </c>
      <c r="F1722">
        <v>29</v>
      </c>
      <c r="G1722">
        <v>12</v>
      </c>
      <c r="H1722" s="4">
        <v>2.4</v>
      </c>
      <c r="I1722" t="s">
        <v>33</v>
      </c>
      <c r="J1722" t="s">
        <v>33</v>
      </c>
      <c r="L1722">
        <f t="shared" si="52"/>
        <v>2021</v>
      </c>
      <c r="M1722" t="str">
        <f t="shared" si="53"/>
        <v>COVID Period</v>
      </c>
    </row>
    <row r="1723" spans="1:13" x14ac:dyDescent="0.25">
      <c r="A1723" s="2">
        <v>44396</v>
      </c>
      <c r="B1723" t="s">
        <v>38</v>
      </c>
      <c r="C1723">
        <v>8</v>
      </c>
      <c r="D1723" s="3">
        <v>8.34</v>
      </c>
      <c r="E1723" s="3">
        <v>66.72</v>
      </c>
      <c r="F1723">
        <v>12</v>
      </c>
      <c r="G1723">
        <v>5</v>
      </c>
      <c r="H1723" s="4">
        <v>1.8</v>
      </c>
      <c r="I1723" t="s">
        <v>33</v>
      </c>
      <c r="J1723" t="s">
        <v>33</v>
      </c>
      <c r="L1723">
        <f t="shared" si="52"/>
        <v>2021</v>
      </c>
      <c r="M1723" t="str">
        <f t="shared" si="53"/>
        <v>COVID Period</v>
      </c>
    </row>
    <row r="1724" spans="1:13" x14ac:dyDescent="0.25">
      <c r="A1724" s="2">
        <v>44396</v>
      </c>
      <c r="B1724" t="s">
        <v>39</v>
      </c>
      <c r="C1724">
        <v>24</v>
      </c>
      <c r="D1724" s="3">
        <v>11.13</v>
      </c>
      <c r="E1724" s="3">
        <v>267.12</v>
      </c>
      <c r="F1724">
        <v>39</v>
      </c>
      <c r="G1724">
        <v>19</v>
      </c>
      <c r="H1724" s="4">
        <v>1.7</v>
      </c>
      <c r="I1724" t="s">
        <v>33</v>
      </c>
      <c r="J1724" t="s">
        <v>33</v>
      </c>
      <c r="L1724">
        <f t="shared" si="52"/>
        <v>2021</v>
      </c>
      <c r="M1724" t="str">
        <f t="shared" si="53"/>
        <v>COVID Period</v>
      </c>
    </row>
    <row r="1725" spans="1:13" x14ac:dyDescent="0.25">
      <c r="A1725" s="2">
        <v>44396</v>
      </c>
      <c r="B1725" t="s">
        <v>40</v>
      </c>
      <c r="C1725">
        <v>25</v>
      </c>
      <c r="D1725" s="3">
        <v>0.64</v>
      </c>
      <c r="E1725" s="3">
        <v>16</v>
      </c>
      <c r="F1725">
        <v>32</v>
      </c>
      <c r="G1725">
        <v>12</v>
      </c>
      <c r="H1725" s="4">
        <v>1.3</v>
      </c>
      <c r="I1725" t="s">
        <v>46</v>
      </c>
      <c r="J1725" t="s">
        <v>33</v>
      </c>
      <c r="K1725" t="s">
        <v>47</v>
      </c>
      <c r="L1725">
        <f t="shared" si="52"/>
        <v>2021</v>
      </c>
      <c r="M1725" t="str">
        <f t="shared" si="53"/>
        <v>COVID Period</v>
      </c>
    </row>
    <row r="1726" spans="1:13" x14ac:dyDescent="0.25">
      <c r="A1726" s="2">
        <v>44396</v>
      </c>
      <c r="B1726" t="s">
        <v>41</v>
      </c>
      <c r="C1726">
        <v>16</v>
      </c>
      <c r="D1726" s="3">
        <v>1.4</v>
      </c>
      <c r="E1726" s="3">
        <v>22.4</v>
      </c>
      <c r="F1726">
        <v>22</v>
      </c>
      <c r="G1726">
        <v>9</v>
      </c>
      <c r="H1726" s="4">
        <v>3.6</v>
      </c>
      <c r="I1726" t="s">
        <v>46</v>
      </c>
      <c r="J1726" t="s">
        <v>33</v>
      </c>
      <c r="K1726" t="s">
        <v>47</v>
      </c>
      <c r="L1726">
        <f t="shared" si="52"/>
        <v>2021</v>
      </c>
      <c r="M1726" t="str">
        <f t="shared" si="53"/>
        <v>COVID Period</v>
      </c>
    </row>
    <row r="1727" spans="1:13" x14ac:dyDescent="0.25">
      <c r="A1727" s="2">
        <v>44396</v>
      </c>
      <c r="B1727" t="s">
        <v>42</v>
      </c>
      <c r="C1727">
        <v>30</v>
      </c>
      <c r="D1727" s="3">
        <v>4.22</v>
      </c>
      <c r="E1727" s="3">
        <v>126.6</v>
      </c>
      <c r="F1727">
        <v>48</v>
      </c>
      <c r="G1727">
        <v>20</v>
      </c>
      <c r="H1727" s="4">
        <v>5.0999999999999996</v>
      </c>
      <c r="I1727" t="s">
        <v>46</v>
      </c>
      <c r="J1727" t="s">
        <v>33</v>
      </c>
      <c r="K1727" t="s">
        <v>47</v>
      </c>
      <c r="L1727">
        <f t="shared" si="52"/>
        <v>2021</v>
      </c>
      <c r="M1727" t="str">
        <f t="shared" si="53"/>
        <v>COVID Period</v>
      </c>
    </row>
    <row r="1728" spans="1:13" x14ac:dyDescent="0.25">
      <c r="A1728" s="2">
        <v>44396</v>
      </c>
      <c r="B1728" t="s">
        <v>43</v>
      </c>
      <c r="C1728">
        <v>14</v>
      </c>
      <c r="D1728" s="3">
        <v>5.36</v>
      </c>
      <c r="E1728" s="3">
        <v>75.040000000000006</v>
      </c>
      <c r="F1728">
        <v>15</v>
      </c>
      <c r="G1728">
        <v>2</v>
      </c>
      <c r="H1728" s="4">
        <v>2.8</v>
      </c>
      <c r="I1728" t="s">
        <v>46</v>
      </c>
      <c r="J1728" t="s">
        <v>46</v>
      </c>
      <c r="L1728">
        <f t="shared" si="52"/>
        <v>2021</v>
      </c>
      <c r="M1728" t="str">
        <f t="shared" si="53"/>
        <v>COVID Period</v>
      </c>
    </row>
    <row r="1729" spans="1:13" x14ac:dyDescent="0.25">
      <c r="A1729" s="2">
        <v>44396</v>
      </c>
      <c r="B1729" t="s">
        <v>44</v>
      </c>
      <c r="C1729">
        <v>1</v>
      </c>
      <c r="D1729" s="3">
        <v>4.9000000000000004</v>
      </c>
      <c r="E1729" s="3">
        <v>4.9000000000000004</v>
      </c>
      <c r="F1729">
        <v>3</v>
      </c>
      <c r="G1729">
        <v>3</v>
      </c>
      <c r="H1729" s="4">
        <v>3.4</v>
      </c>
      <c r="I1729" t="s">
        <v>46</v>
      </c>
      <c r="J1729" t="s">
        <v>33</v>
      </c>
      <c r="K1729" t="s">
        <v>47</v>
      </c>
      <c r="L1729">
        <f t="shared" si="52"/>
        <v>2021</v>
      </c>
      <c r="M1729" t="str">
        <f t="shared" si="53"/>
        <v>COVID Period</v>
      </c>
    </row>
    <row r="1730" spans="1:13" x14ac:dyDescent="0.25">
      <c r="A1730" s="2">
        <v>44396</v>
      </c>
      <c r="B1730" t="s">
        <v>45</v>
      </c>
      <c r="C1730">
        <v>0</v>
      </c>
      <c r="D1730" s="3">
        <v>15.33</v>
      </c>
      <c r="E1730" s="3">
        <v>0</v>
      </c>
      <c r="F1730">
        <v>3</v>
      </c>
      <c r="G1730">
        <v>3</v>
      </c>
      <c r="H1730" s="4">
        <v>3.4</v>
      </c>
      <c r="I1730" t="s">
        <v>46</v>
      </c>
      <c r="J1730" t="s">
        <v>33</v>
      </c>
      <c r="L1730">
        <f t="shared" ref="L1730:L1793" si="54">YEAR(A1730)</f>
        <v>2021</v>
      </c>
      <c r="M1730" t="str">
        <f t="shared" ref="M1730:M1793" si="55">IF(L1730=2019,"Pre-COVID","COVID Period")</f>
        <v>COVID Period</v>
      </c>
    </row>
    <row r="1731" spans="1:13" x14ac:dyDescent="0.25">
      <c r="A1731" s="2">
        <v>44403</v>
      </c>
      <c r="B1731" t="s">
        <v>32</v>
      </c>
      <c r="C1731">
        <v>18</v>
      </c>
      <c r="D1731" s="3">
        <v>6.85</v>
      </c>
      <c r="E1731" s="3">
        <v>123.3</v>
      </c>
      <c r="F1731">
        <v>19</v>
      </c>
      <c r="G1731">
        <v>4</v>
      </c>
      <c r="H1731" s="4">
        <v>0.5</v>
      </c>
      <c r="I1731" t="s">
        <v>33</v>
      </c>
      <c r="J1731" t="s">
        <v>33</v>
      </c>
      <c r="L1731">
        <f t="shared" si="54"/>
        <v>2021</v>
      </c>
      <c r="M1731" t="str">
        <f t="shared" si="55"/>
        <v>COVID Period</v>
      </c>
    </row>
    <row r="1732" spans="1:13" x14ac:dyDescent="0.25">
      <c r="A1732" s="2">
        <v>44403</v>
      </c>
      <c r="B1732" t="s">
        <v>34</v>
      </c>
      <c r="C1732">
        <v>14</v>
      </c>
      <c r="D1732" s="3">
        <v>6.96</v>
      </c>
      <c r="E1732" s="3">
        <v>97.44</v>
      </c>
      <c r="F1732">
        <v>15</v>
      </c>
      <c r="G1732">
        <v>1</v>
      </c>
      <c r="H1732" s="4">
        <v>2.2000000000000002</v>
      </c>
      <c r="I1732" t="s">
        <v>33</v>
      </c>
      <c r="J1732" t="s">
        <v>33</v>
      </c>
      <c r="L1732">
        <f t="shared" si="54"/>
        <v>2021</v>
      </c>
      <c r="M1732" t="str">
        <f t="shared" si="55"/>
        <v>COVID Period</v>
      </c>
    </row>
    <row r="1733" spans="1:13" x14ac:dyDescent="0.25">
      <c r="A1733" s="2">
        <v>44403</v>
      </c>
      <c r="B1733" t="s">
        <v>35</v>
      </c>
      <c r="C1733">
        <v>16</v>
      </c>
      <c r="D1733" s="3">
        <v>6.05</v>
      </c>
      <c r="E1733" s="3">
        <v>96.8</v>
      </c>
      <c r="F1733">
        <v>19</v>
      </c>
      <c r="G1733">
        <v>6</v>
      </c>
      <c r="H1733" s="4">
        <v>1.1000000000000001</v>
      </c>
      <c r="I1733" t="s">
        <v>33</v>
      </c>
      <c r="J1733" t="s">
        <v>33</v>
      </c>
      <c r="L1733">
        <f t="shared" si="54"/>
        <v>2021</v>
      </c>
      <c r="M1733" t="str">
        <f t="shared" si="55"/>
        <v>COVID Period</v>
      </c>
    </row>
    <row r="1734" spans="1:13" x14ac:dyDescent="0.25">
      <c r="A1734" s="2">
        <v>44403</v>
      </c>
      <c r="B1734" t="s">
        <v>36</v>
      </c>
      <c r="C1734">
        <v>8</v>
      </c>
      <c r="D1734" s="3">
        <v>6.32</v>
      </c>
      <c r="E1734" s="3">
        <v>50.56</v>
      </c>
      <c r="F1734">
        <v>12</v>
      </c>
      <c r="G1734">
        <v>6</v>
      </c>
      <c r="H1734" s="4">
        <v>2.4</v>
      </c>
      <c r="I1734" t="s">
        <v>33</v>
      </c>
      <c r="J1734" t="s">
        <v>33</v>
      </c>
      <c r="L1734">
        <f t="shared" si="54"/>
        <v>2021</v>
      </c>
      <c r="M1734" t="str">
        <f t="shared" si="55"/>
        <v>COVID Period</v>
      </c>
    </row>
    <row r="1735" spans="1:13" x14ac:dyDescent="0.25">
      <c r="A1735" s="2">
        <v>44403</v>
      </c>
      <c r="B1735" t="s">
        <v>37</v>
      </c>
      <c r="C1735">
        <v>27</v>
      </c>
      <c r="D1735" s="3">
        <v>3.31</v>
      </c>
      <c r="E1735" s="3">
        <v>89.37</v>
      </c>
      <c r="F1735">
        <v>40</v>
      </c>
      <c r="G1735">
        <v>18</v>
      </c>
      <c r="H1735" s="4">
        <v>1.7</v>
      </c>
      <c r="I1735" t="s">
        <v>33</v>
      </c>
      <c r="J1735" t="s">
        <v>33</v>
      </c>
      <c r="L1735">
        <f t="shared" si="54"/>
        <v>2021</v>
      </c>
      <c r="M1735" t="str">
        <f t="shared" si="55"/>
        <v>COVID Period</v>
      </c>
    </row>
    <row r="1736" spans="1:13" x14ac:dyDescent="0.25">
      <c r="A1736" s="2">
        <v>44403</v>
      </c>
      <c r="B1736" t="s">
        <v>38</v>
      </c>
      <c r="C1736">
        <v>11</v>
      </c>
      <c r="D1736" s="3">
        <v>8.73</v>
      </c>
      <c r="E1736" s="3">
        <v>96.03</v>
      </c>
      <c r="F1736">
        <v>14</v>
      </c>
      <c r="G1736">
        <v>4</v>
      </c>
      <c r="H1736" s="4">
        <v>0.3</v>
      </c>
      <c r="I1736" t="s">
        <v>33</v>
      </c>
      <c r="J1736" t="s">
        <v>33</v>
      </c>
      <c r="L1736">
        <f t="shared" si="54"/>
        <v>2021</v>
      </c>
      <c r="M1736" t="str">
        <f t="shared" si="55"/>
        <v>COVID Period</v>
      </c>
    </row>
    <row r="1737" spans="1:13" x14ac:dyDescent="0.25">
      <c r="A1737" s="2">
        <v>44403</v>
      </c>
      <c r="B1737" t="s">
        <v>39</v>
      </c>
      <c r="C1737">
        <v>12</v>
      </c>
      <c r="D1737" s="3">
        <v>11.93</v>
      </c>
      <c r="E1737" s="3">
        <v>143.16</v>
      </c>
      <c r="F1737">
        <v>15</v>
      </c>
      <c r="G1737">
        <v>3</v>
      </c>
      <c r="H1737" s="4">
        <v>0.9</v>
      </c>
      <c r="I1737" t="s">
        <v>33</v>
      </c>
      <c r="J1737" t="s">
        <v>33</v>
      </c>
      <c r="L1737">
        <f t="shared" si="54"/>
        <v>2021</v>
      </c>
      <c r="M1737" t="str">
        <f t="shared" si="55"/>
        <v>COVID Period</v>
      </c>
    </row>
    <row r="1738" spans="1:13" x14ac:dyDescent="0.25">
      <c r="A1738" s="2">
        <v>44403</v>
      </c>
      <c r="B1738" t="s">
        <v>40</v>
      </c>
      <c r="C1738">
        <v>22</v>
      </c>
      <c r="D1738" s="3">
        <v>0.63</v>
      </c>
      <c r="E1738" s="3">
        <v>13.86</v>
      </c>
      <c r="F1738">
        <v>35</v>
      </c>
      <c r="G1738">
        <v>17</v>
      </c>
      <c r="H1738" s="4">
        <v>5.3</v>
      </c>
      <c r="I1738" t="s">
        <v>46</v>
      </c>
      <c r="J1738" t="s">
        <v>33</v>
      </c>
      <c r="K1738" t="s">
        <v>47</v>
      </c>
      <c r="L1738">
        <f t="shared" si="54"/>
        <v>2021</v>
      </c>
      <c r="M1738" t="str">
        <f t="shared" si="55"/>
        <v>COVID Period</v>
      </c>
    </row>
    <row r="1739" spans="1:13" x14ac:dyDescent="0.25">
      <c r="A1739" s="2">
        <v>44403</v>
      </c>
      <c r="B1739" t="s">
        <v>41</v>
      </c>
      <c r="C1739">
        <v>14</v>
      </c>
      <c r="D1739" s="3">
        <v>1.32</v>
      </c>
      <c r="E1739" s="3">
        <v>18.48</v>
      </c>
      <c r="F1739">
        <v>15</v>
      </c>
      <c r="G1739">
        <v>1</v>
      </c>
      <c r="H1739" s="4">
        <v>1.4</v>
      </c>
      <c r="I1739" t="s">
        <v>46</v>
      </c>
      <c r="J1739" t="s">
        <v>33</v>
      </c>
      <c r="K1739" t="s">
        <v>47</v>
      </c>
      <c r="L1739">
        <f t="shared" si="54"/>
        <v>2021</v>
      </c>
      <c r="M1739" t="str">
        <f t="shared" si="55"/>
        <v>COVID Period</v>
      </c>
    </row>
    <row r="1740" spans="1:13" x14ac:dyDescent="0.25">
      <c r="A1740" s="2">
        <v>44403</v>
      </c>
      <c r="B1740" t="s">
        <v>42</v>
      </c>
      <c r="C1740">
        <v>18</v>
      </c>
      <c r="D1740" s="3">
        <v>4.21</v>
      </c>
      <c r="E1740" s="3">
        <v>75.78</v>
      </c>
      <c r="F1740">
        <v>27</v>
      </c>
      <c r="G1740">
        <v>12</v>
      </c>
      <c r="H1740" s="4">
        <v>0.1</v>
      </c>
      <c r="I1740" t="s">
        <v>46</v>
      </c>
      <c r="J1740" t="s">
        <v>33</v>
      </c>
      <c r="K1740" t="s">
        <v>47</v>
      </c>
      <c r="L1740">
        <f t="shared" si="54"/>
        <v>2021</v>
      </c>
      <c r="M1740" t="str">
        <f t="shared" si="55"/>
        <v>COVID Period</v>
      </c>
    </row>
    <row r="1741" spans="1:13" x14ac:dyDescent="0.25">
      <c r="A1741" s="2">
        <v>44403</v>
      </c>
      <c r="B1741" t="s">
        <v>43</v>
      </c>
      <c r="C1741">
        <v>12</v>
      </c>
      <c r="D1741" s="3">
        <v>5.74</v>
      </c>
      <c r="E1741" s="3">
        <v>68.88</v>
      </c>
      <c r="F1741">
        <v>19</v>
      </c>
      <c r="G1741">
        <v>10</v>
      </c>
      <c r="H1741" s="4">
        <v>1.2</v>
      </c>
      <c r="I1741" t="s">
        <v>46</v>
      </c>
      <c r="J1741" t="s">
        <v>33</v>
      </c>
      <c r="L1741">
        <f t="shared" si="54"/>
        <v>2021</v>
      </c>
      <c r="M1741" t="str">
        <f t="shared" si="55"/>
        <v>COVID Period</v>
      </c>
    </row>
    <row r="1742" spans="1:13" x14ac:dyDescent="0.25">
      <c r="A1742" s="2">
        <v>44403</v>
      </c>
      <c r="B1742" t="s">
        <v>44</v>
      </c>
      <c r="C1742">
        <v>0</v>
      </c>
      <c r="D1742" s="3">
        <v>4.79</v>
      </c>
      <c r="E1742" s="3">
        <v>0</v>
      </c>
      <c r="F1742">
        <v>3</v>
      </c>
      <c r="G1742">
        <v>3</v>
      </c>
      <c r="H1742" s="4">
        <v>3.1</v>
      </c>
      <c r="I1742" t="s">
        <v>46</v>
      </c>
      <c r="J1742" t="s">
        <v>33</v>
      </c>
      <c r="K1742" t="s">
        <v>47</v>
      </c>
      <c r="L1742">
        <f t="shared" si="54"/>
        <v>2021</v>
      </c>
      <c r="M1742" t="str">
        <f t="shared" si="55"/>
        <v>COVID Period</v>
      </c>
    </row>
    <row r="1743" spans="1:13" x14ac:dyDescent="0.25">
      <c r="A1743" s="2">
        <v>44403</v>
      </c>
      <c r="B1743" t="s">
        <v>45</v>
      </c>
      <c r="C1743">
        <v>0</v>
      </c>
      <c r="D1743" s="3">
        <v>14.99</v>
      </c>
      <c r="E1743" s="3">
        <v>0</v>
      </c>
      <c r="F1743">
        <v>3</v>
      </c>
      <c r="G1743">
        <v>3</v>
      </c>
      <c r="H1743" s="4">
        <v>3.1</v>
      </c>
      <c r="I1743" t="s">
        <v>46</v>
      </c>
      <c r="J1743" t="s">
        <v>33</v>
      </c>
      <c r="L1743">
        <f t="shared" si="54"/>
        <v>2021</v>
      </c>
      <c r="M1743" t="str">
        <f t="shared" si="55"/>
        <v>COVID Period</v>
      </c>
    </row>
    <row r="1744" spans="1:13" x14ac:dyDescent="0.25">
      <c r="A1744" s="2">
        <v>44410</v>
      </c>
      <c r="B1744" t="s">
        <v>32</v>
      </c>
      <c r="C1744">
        <v>12</v>
      </c>
      <c r="D1744" s="3">
        <v>6.67</v>
      </c>
      <c r="E1744" s="3">
        <v>80.040000000000006</v>
      </c>
      <c r="F1744">
        <v>19</v>
      </c>
      <c r="G1744">
        <v>9</v>
      </c>
      <c r="H1744" s="4">
        <v>0.6</v>
      </c>
      <c r="I1744" t="s">
        <v>33</v>
      </c>
      <c r="J1744" t="s">
        <v>33</v>
      </c>
      <c r="L1744">
        <f t="shared" si="54"/>
        <v>2021</v>
      </c>
      <c r="M1744" t="str">
        <f t="shared" si="55"/>
        <v>COVID Period</v>
      </c>
    </row>
    <row r="1745" spans="1:13" x14ac:dyDescent="0.25">
      <c r="A1745" s="2">
        <v>44410</v>
      </c>
      <c r="B1745" t="s">
        <v>34</v>
      </c>
      <c r="C1745">
        <v>8</v>
      </c>
      <c r="D1745" s="3">
        <v>7.37</v>
      </c>
      <c r="E1745" s="3">
        <v>58.96</v>
      </c>
      <c r="F1745">
        <v>10</v>
      </c>
      <c r="G1745">
        <v>4</v>
      </c>
      <c r="H1745" s="4">
        <v>1.7</v>
      </c>
      <c r="I1745" t="s">
        <v>33</v>
      </c>
      <c r="J1745" t="s">
        <v>33</v>
      </c>
      <c r="L1745">
        <f t="shared" si="54"/>
        <v>2021</v>
      </c>
      <c r="M1745" t="str">
        <f t="shared" si="55"/>
        <v>COVID Period</v>
      </c>
    </row>
    <row r="1746" spans="1:13" x14ac:dyDescent="0.25">
      <c r="A1746" s="2">
        <v>44410</v>
      </c>
      <c r="B1746" t="s">
        <v>35</v>
      </c>
      <c r="C1746">
        <v>10</v>
      </c>
      <c r="D1746" s="3">
        <v>5.91</v>
      </c>
      <c r="E1746" s="3">
        <v>59.1</v>
      </c>
      <c r="F1746">
        <v>12</v>
      </c>
      <c r="G1746">
        <v>3</v>
      </c>
      <c r="H1746" s="4">
        <v>1.7</v>
      </c>
      <c r="I1746" t="s">
        <v>33</v>
      </c>
      <c r="J1746" t="s">
        <v>33</v>
      </c>
      <c r="L1746">
        <f t="shared" si="54"/>
        <v>2021</v>
      </c>
      <c r="M1746" t="str">
        <f t="shared" si="55"/>
        <v>COVID Period</v>
      </c>
    </row>
    <row r="1747" spans="1:13" x14ac:dyDescent="0.25">
      <c r="A1747" s="2">
        <v>44410</v>
      </c>
      <c r="B1747" t="s">
        <v>36</v>
      </c>
      <c r="C1747">
        <v>9</v>
      </c>
      <c r="D1747" s="3">
        <v>6.29</v>
      </c>
      <c r="E1747" s="3">
        <v>56.61</v>
      </c>
      <c r="F1747">
        <v>10</v>
      </c>
      <c r="G1747">
        <v>3</v>
      </c>
      <c r="H1747" s="4">
        <v>2.1</v>
      </c>
      <c r="I1747" t="s">
        <v>33</v>
      </c>
      <c r="J1747" t="s">
        <v>33</v>
      </c>
      <c r="L1747">
        <f t="shared" si="54"/>
        <v>2021</v>
      </c>
      <c r="M1747" t="str">
        <f t="shared" si="55"/>
        <v>COVID Period</v>
      </c>
    </row>
    <row r="1748" spans="1:13" x14ac:dyDescent="0.25">
      <c r="A1748" s="2">
        <v>44410</v>
      </c>
      <c r="B1748" t="s">
        <v>37</v>
      </c>
      <c r="C1748">
        <v>29</v>
      </c>
      <c r="D1748" s="3">
        <v>3.19</v>
      </c>
      <c r="E1748" s="3">
        <v>92.51</v>
      </c>
      <c r="F1748">
        <v>40</v>
      </c>
      <c r="G1748">
        <v>16</v>
      </c>
      <c r="H1748" s="4">
        <v>2</v>
      </c>
      <c r="I1748" t="s">
        <v>33</v>
      </c>
      <c r="J1748" t="s">
        <v>33</v>
      </c>
      <c r="L1748">
        <f t="shared" si="54"/>
        <v>2021</v>
      </c>
      <c r="M1748" t="str">
        <f t="shared" si="55"/>
        <v>COVID Period</v>
      </c>
    </row>
    <row r="1749" spans="1:13" x14ac:dyDescent="0.25">
      <c r="A1749" s="2">
        <v>44410</v>
      </c>
      <c r="B1749" t="s">
        <v>38</v>
      </c>
      <c r="C1749">
        <v>12</v>
      </c>
      <c r="D1749" s="3">
        <v>8.2200000000000006</v>
      </c>
      <c r="E1749" s="3">
        <v>98.64</v>
      </c>
      <c r="F1749">
        <v>19</v>
      </c>
      <c r="G1749">
        <v>8</v>
      </c>
      <c r="H1749" s="4">
        <v>1.1000000000000001</v>
      </c>
      <c r="I1749" t="s">
        <v>33</v>
      </c>
      <c r="J1749" t="s">
        <v>33</v>
      </c>
      <c r="L1749">
        <f t="shared" si="54"/>
        <v>2021</v>
      </c>
      <c r="M1749" t="str">
        <f t="shared" si="55"/>
        <v>COVID Period</v>
      </c>
    </row>
    <row r="1750" spans="1:13" x14ac:dyDescent="0.25">
      <c r="A1750" s="2">
        <v>44410</v>
      </c>
      <c r="B1750" t="s">
        <v>39</v>
      </c>
      <c r="C1750">
        <v>24</v>
      </c>
      <c r="D1750" s="3">
        <v>11.35</v>
      </c>
      <c r="E1750" s="3">
        <v>272.39999999999998</v>
      </c>
      <c r="F1750">
        <v>33</v>
      </c>
      <c r="G1750">
        <v>10</v>
      </c>
      <c r="H1750" s="4">
        <v>0</v>
      </c>
      <c r="I1750" t="s">
        <v>33</v>
      </c>
      <c r="J1750" t="s">
        <v>33</v>
      </c>
      <c r="L1750">
        <f t="shared" si="54"/>
        <v>2021</v>
      </c>
      <c r="M1750" t="str">
        <f t="shared" si="55"/>
        <v>COVID Period</v>
      </c>
    </row>
    <row r="1751" spans="1:13" x14ac:dyDescent="0.25">
      <c r="A1751" s="2">
        <v>44410</v>
      </c>
      <c r="B1751" t="s">
        <v>40</v>
      </c>
      <c r="C1751">
        <v>33</v>
      </c>
      <c r="D1751" s="3">
        <v>0.65</v>
      </c>
      <c r="E1751" s="3">
        <v>21.45</v>
      </c>
      <c r="F1751">
        <v>43</v>
      </c>
      <c r="G1751">
        <v>16</v>
      </c>
      <c r="H1751" s="4">
        <v>2.7</v>
      </c>
      <c r="I1751" t="s">
        <v>46</v>
      </c>
      <c r="J1751" t="s">
        <v>33</v>
      </c>
      <c r="K1751" t="s">
        <v>47</v>
      </c>
      <c r="L1751">
        <f t="shared" si="54"/>
        <v>2021</v>
      </c>
      <c r="M1751" t="str">
        <f t="shared" si="55"/>
        <v>COVID Period</v>
      </c>
    </row>
    <row r="1752" spans="1:13" x14ac:dyDescent="0.25">
      <c r="A1752" s="2">
        <v>44410</v>
      </c>
      <c r="B1752" t="s">
        <v>41</v>
      </c>
      <c r="C1752">
        <v>20</v>
      </c>
      <c r="D1752" s="3">
        <v>1.41</v>
      </c>
      <c r="E1752" s="3">
        <v>28.2</v>
      </c>
      <c r="F1752">
        <v>29</v>
      </c>
      <c r="G1752">
        <v>13</v>
      </c>
      <c r="H1752" s="4">
        <v>2.1</v>
      </c>
      <c r="I1752" t="s">
        <v>46</v>
      </c>
      <c r="J1752" t="s">
        <v>33</v>
      </c>
      <c r="K1752" t="s">
        <v>47</v>
      </c>
      <c r="L1752">
        <f t="shared" si="54"/>
        <v>2021</v>
      </c>
      <c r="M1752" t="str">
        <f t="shared" si="55"/>
        <v>COVID Period</v>
      </c>
    </row>
    <row r="1753" spans="1:13" x14ac:dyDescent="0.25">
      <c r="A1753" s="2">
        <v>44410</v>
      </c>
      <c r="B1753" t="s">
        <v>42</v>
      </c>
      <c r="C1753">
        <v>24</v>
      </c>
      <c r="D1753" s="3">
        <v>4.1900000000000004</v>
      </c>
      <c r="E1753" s="3">
        <v>100.56</v>
      </c>
      <c r="F1753">
        <v>32</v>
      </c>
      <c r="G1753">
        <v>13</v>
      </c>
      <c r="H1753" s="4">
        <v>3.6</v>
      </c>
      <c r="I1753" t="s">
        <v>46</v>
      </c>
      <c r="J1753" t="s">
        <v>33</v>
      </c>
      <c r="K1753" t="s">
        <v>47</v>
      </c>
      <c r="L1753">
        <f t="shared" si="54"/>
        <v>2021</v>
      </c>
      <c r="M1753" t="str">
        <f t="shared" si="55"/>
        <v>COVID Period</v>
      </c>
    </row>
    <row r="1754" spans="1:13" x14ac:dyDescent="0.25">
      <c r="A1754" s="2">
        <v>44410</v>
      </c>
      <c r="B1754" t="s">
        <v>43</v>
      </c>
      <c r="C1754">
        <v>10</v>
      </c>
      <c r="D1754" s="3">
        <v>5.75</v>
      </c>
      <c r="E1754" s="3">
        <v>57.5</v>
      </c>
      <c r="F1754">
        <v>13</v>
      </c>
      <c r="G1754">
        <v>5</v>
      </c>
      <c r="H1754" s="4">
        <v>2.8</v>
      </c>
      <c r="I1754" t="s">
        <v>46</v>
      </c>
      <c r="J1754" t="s">
        <v>33</v>
      </c>
      <c r="L1754">
        <f t="shared" si="54"/>
        <v>2021</v>
      </c>
      <c r="M1754" t="str">
        <f t="shared" si="55"/>
        <v>COVID Period</v>
      </c>
    </row>
    <row r="1755" spans="1:13" x14ac:dyDescent="0.25">
      <c r="A1755" s="2">
        <v>44410</v>
      </c>
      <c r="B1755" t="s">
        <v>44</v>
      </c>
      <c r="C1755">
        <v>0</v>
      </c>
      <c r="D1755" s="3">
        <v>4.74</v>
      </c>
      <c r="E1755" s="3">
        <v>0</v>
      </c>
      <c r="F1755">
        <v>3</v>
      </c>
      <c r="G1755">
        <v>3</v>
      </c>
      <c r="H1755" s="4">
        <v>2.5</v>
      </c>
      <c r="I1755" t="s">
        <v>46</v>
      </c>
      <c r="J1755" t="s">
        <v>33</v>
      </c>
      <c r="K1755" t="s">
        <v>47</v>
      </c>
      <c r="L1755">
        <f t="shared" si="54"/>
        <v>2021</v>
      </c>
      <c r="M1755" t="str">
        <f t="shared" si="55"/>
        <v>COVID Period</v>
      </c>
    </row>
    <row r="1756" spans="1:13" x14ac:dyDescent="0.25">
      <c r="A1756" s="2">
        <v>44410</v>
      </c>
      <c r="B1756" t="s">
        <v>45</v>
      </c>
      <c r="C1756">
        <v>1</v>
      </c>
      <c r="D1756" s="3">
        <v>14.67</v>
      </c>
      <c r="E1756" s="3">
        <v>14.67</v>
      </c>
      <c r="F1756">
        <v>3</v>
      </c>
      <c r="G1756">
        <v>2</v>
      </c>
      <c r="H1756" s="4">
        <v>3.8</v>
      </c>
      <c r="I1756" t="s">
        <v>46</v>
      </c>
      <c r="J1756" t="s">
        <v>33</v>
      </c>
      <c r="L1756">
        <f t="shared" si="54"/>
        <v>2021</v>
      </c>
      <c r="M1756" t="str">
        <f t="shared" si="55"/>
        <v>COVID Period</v>
      </c>
    </row>
    <row r="1757" spans="1:13" x14ac:dyDescent="0.25">
      <c r="A1757" s="2">
        <v>44417</v>
      </c>
      <c r="B1757" t="s">
        <v>32</v>
      </c>
      <c r="C1757">
        <v>19</v>
      </c>
      <c r="D1757" s="3">
        <v>6.82</v>
      </c>
      <c r="E1757" s="3">
        <v>129.58000000000001</v>
      </c>
      <c r="F1757">
        <v>24</v>
      </c>
      <c r="G1757">
        <v>6</v>
      </c>
      <c r="H1757" s="4">
        <v>0.1</v>
      </c>
      <c r="I1757" t="s">
        <v>33</v>
      </c>
      <c r="J1757" t="s">
        <v>33</v>
      </c>
      <c r="L1757">
        <f t="shared" si="54"/>
        <v>2021</v>
      </c>
      <c r="M1757" t="str">
        <f t="shared" si="55"/>
        <v>COVID Period</v>
      </c>
    </row>
    <row r="1758" spans="1:13" x14ac:dyDescent="0.25">
      <c r="A1758" s="2">
        <v>44417</v>
      </c>
      <c r="B1758" t="s">
        <v>34</v>
      </c>
      <c r="C1758">
        <v>14</v>
      </c>
      <c r="D1758" s="3">
        <v>7.1</v>
      </c>
      <c r="E1758" s="3">
        <v>99.4</v>
      </c>
      <c r="F1758">
        <v>18</v>
      </c>
      <c r="G1758">
        <v>6</v>
      </c>
      <c r="H1758" s="4">
        <v>2.4</v>
      </c>
      <c r="I1758" t="s">
        <v>33</v>
      </c>
      <c r="J1758" t="s">
        <v>33</v>
      </c>
      <c r="L1758">
        <f t="shared" si="54"/>
        <v>2021</v>
      </c>
      <c r="M1758" t="str">
        <f t="shared" si="55"/>
        <v>COVID Period</v>
      </c>
    </row>
    <row r="1759" spans="1:13" x14ac:dyDescent="0.25">
      <c r="A1759" s="2">
        <v>44417</v>
      </c>
      <c r="B1759" t="s">
        <v>35</v>
      </c>
      <c r="C1759">
        <v>9</v>
      </c>
      <c r="D1759" s="3">
        <v>5.72</v>
      </c>
      <c r="E1759" s="3">
        <v>51.48</v>
      </c>
      <c r="F1759">
        <v>11</v>
      </c>
      <c r="G1759">
        <v>3</v>
      </c>
      <c r="H1759" s="4">
        <v>1.2</v>
      </c>
      <c r="I1759" t="s">
        <v>33</v>
      </c>
      <c r="J1759" t="s">
        <v>33</v>
      </c>
      <c r="L1759">
        <f t="shared" si="54"/>
        <v>2021</v>
      </c>
      <c r="M1759" t="str">
        <f t="shared" si="55"/>
        <v>COVID Period</v>
      </c>
    </row>
    <row r="1760" spans="1:13" x14ac:dyDescent="0.25">
      <c r="A1760" s="2">
        <v>44417</v>
      </c>
      <c r="B1760" t="s">
        <v>36</v>
      </c>
      <c r="C1760">
        <v>9</v>
      </c>
      <c r="D1760" s="3">
        <v>5.99</v>
      </c>
      <c r="E1760" s="3">
        <v>53.91</v>
      </c>
      <c r="F1760">
        <v>10</v>
      </c>
      <c r="G1760">
        <v>1</v>
      </c>
      <c r="H1760" s="4">
        <v>1.6</v>
      </c>
      <c r="I1760" t="s">
        <v>33</v>
      </c>
      <c r="J1760" t="s">
        <v>33</v>
      </c>
      <c r="L1760">
        <f t="shared" si="54"/>
        <v>2021</v>
      </c>
      <c r="M1760" t="str">
        <f t="shared" si="55"/>
        <v>COVID Period</v>
      </c>
    </row>
    <row r="1761" spans="1:13" x14ac:dyDescent="0.25">
      <c r="A1761" s="2">
        <v>44417</v>
      </c>
      <c r="B1761" t="s">
        <v>37</v>
      </c>
      <c r="C1761">
        <v>19</v>
      </c>
      <c r="D1761" s="3">
        <v>3.17</v>
      </c>
      <c r="E1761" s="3">
        <v>60.23</v>
      </c>
      <c r="F1761">
        <v>27</v>
      </c>
      <c r="G1761">
        <v>9</v>
      </c>
      <c r="H1761" s="4">
        <v>2</v>
      </c>
      <c r="I1761" t="s">
        <v>33</v>
      </c>
      <c r="J1761" t="s">
        <v>33</v>
      </c>
      <c r="L1761">
        <f t="shared" si="54"/>
        <v>2021</v>
      </c>
      <c r="M1761" t="str">
        <f t="shared" si="55"/>
        <v>COVID Period</v>
      </c>
    </row>
    <row r="1762" spans="1:13" x14ac:dyDescent="0.25">
      <c r="A1762" s="2">
        <v>44417</v>
      </c>
      <c r="B1762" t="s">
        <v>38</v>
      </c>
      <c r="C1762">
        <v>9</v>
      </c>
      <c r="D1762" s="3">
        <v>8.64</v>
      </c>
      <c r="E1762" s="3">
        <v>77.760000000000005</v>
      </c>
      <c r="F1762">
        <v>13</v>
      </c>
      <c r="G1762">
        <v>5</v>
      </c>
      <c r="H1762" s="4">
        <v>3.4</v>
      </c>
      <c r="I1762" t="s">
        <v>33</v>
      </c>
      <c r="J1762" t="s">
        <v>33</v>
      </c>
      <c r="L1762">
        <f t="shared" si="54"/>
        <v>2021</v>
      </c>
      <c r="M1762" t="str">
        <f t="shared" si="55"/>
        <v>COVID Period</v>
      </c>
    </row>
    <row r="1763" spans="1:13" x14ac:dyDescent="0.25">
      <c r="A1763" s="2">
        <v>44417</v>
      </c>
      <c r="B1763" t="s">
        <v>39</v>
      </c>
      <c r="C1763">
        <v>21</v>
      </c>
      <c r="D1763" s="3">
        <v>11.77</v>
      </c>
      <c r="E1763" s="3">
        <v>247.17</v>
      </c>
      <c r="F1763">
        <v>23</v>
      </c>
      <c r="G1763">
        <v>3</v>
      </c>
      <c r="H1763" s="4">
        <v>0.9</v>
      </c>
      <c r="I1763" t="s">
        <v>33</v>
      </c>
      <c r="J1763" t="s">
        <v>33</v>
      </c>
      <c r="L1763">
        <f t="shared" si="54"/>
        <v>2021</v>
      </c>
      <c r="M1763" t="str">
        <f t="shared" si="55"/>
        <v>COVID Period</v>
      </c>
    </row>
    <row r="1764" spans="1:13" x14ac:dyDescent="0.25">
      <c r="A1764" s="2">
        <v>44417</v>
      </c>
      <c r="B1764" t="s">
        <v>40</v>
      </c>
      <c r="C1764">
        <v>26</v>
      </c>
      <c r="D1764" s="3">
        <v>0.66</v>
      </c>
      <c r="E1764" s="3">
        <v>17.16</v>
      </c>
      <c r="F1764">
        <v>34</v>
      </c>
      <c r="G1764">
        <v>9</v>
      </c>
      <c r="H1764" s="4">
        <v>2.4</v>
      </c>
      <c r="I1764" t="s">
        <v>46</v>
      </c>
      <c r="J1764" t="s">
        <v>33</v>
      </c>
      <c r="K1764" t="s">
        <v>47</v>
      </c>
      <c r="L1764">
        <f t="shared" si="54"/>
        <v>2021</v>
      </c>
      <c r="M1764" t="str">
        <f t="shared" si="55"/>
        <v>COVID Period</v>
      </c>
    </row>
    <row r="1765" spans="1:13" x14ac:dyDescent="0.25">
      <c r="A1765" s="2">
        <v>44417</v>
      </c>
      <c r="B1765" t="s">
        <v>41</v>
      </c>
      <c r="C1765">
        <v>12</v>
      </c>
      <c r="D1765" s="3">
        <v>1.37</v>
      </c>
      <c r="E1765" s="3">
        <v>16.440000000000001</v>
      </c>
      <c r="F1765">
        <v>17</v>
      </c>
      <c r="G1765">
        <v>6</v>
      </c>
      <c r="H1765" s="4">
        <v>2.7</v>
      </c>
      <c r="I1765" t="s">
        <v>46</v>
      </c>
      <c r="J1765" t="s">
        <v>33</v>
      </c>
      <c r="K1765" t="s">
        <v>47</v>
      </c>
      <c r="L1765">
        <f t="shared" si="54"/>
        <v>2021</v>
      </c>
      <c r="M1765" t="str">
        <f t="shared" si="55"/>
        <v>COVID Period</v>
      </c>
    </row>
    <row r="1766" spans="1:13" x14ac:dyDescent="0.25">
      <c r="A1766" s="2">
        <v>44417</v>
      </c>
      <c r="B1766" t="s">
        <v>42</v>
      </c>
      <c r="C1766">
        <v>27</v>
      </c>
      <c r="D1766" s="3">
        <v>4.3099999999999996</v>
      </c>
      <c r="E1766" s="3">
        <v>116.37</v>
      </c>
      <c r="F1766">
        <v>31</v>
      </c>
      <c r="G1766">
        <v>9</v>
      </c>
      <c r="H1766" s="4">
        <v>1.3</v>
      </c>
      <c r="I1766" t="s">
        <v>46</v>
      </c>
      <c r="J1766" t="s">
        <v>33</v>
      </c>
      <c r="K1766" t="s">
        <v>47</v>
      </c>
      <c r="L1766">
        <f t="shared" si="54"/>
        <v>2021</v>
      </c>
      <c r="M1766" t="str">
        <f t="shared" si="55"/>
        <v>COVID Period</v>
      </c>
    </row>
    <row r="1767" spans="1:13" x14ac:dyDescent="0.25">
      <c r="A1767" s="2">
        <v>44417</v>
      </c>
      <c r="B1767" t="s">
        <v>43</v>
      </c>
      <c r="C1767">
        <v>13</v>
      </c>
      <c r="D1767" s="3">
        <v>5.52</v>
      </c>
      <c r="E1767" s="3">
        <v>71.760000000000005</v>
      </c>
      <c r="F1767">
        <v>18</v>
      </c>
      <c r="G1767">
        <v>7</v>
      </c>
      <c r="H1767" s="4">
        <v>1.6</v>
      </c>
      <c r="I1767" t="s">
        <v>46</v>
      </c>
      <c r="J1767" t="s">
        <v>33</v>
      </c>
      <c r="L1767">
        <f t="shared" si="54"/>
        <v>2021</v>
      </c>
      <c r="M1767" t="str">
        <f t="shared" si="55"/>
        <v>COVID Period</v>
      </c>
    </row>
    <row r="1768" spans="1:13" x14ac:dyDescent="0.25">
      <c r="A1768" s="2">
        <v>44417</v>
      </c>
      <c r="B1768" t="s">
        <v>44</v>
      </c>
      <c r="C1768">
        <v>0</v>
      </c>
      <c r="D1768" s="3">
        <v>4.67</v>
      </c>
      <c r="E1768" s="3">
        <v>0</v>
      </c>
      <c r="F1768">
        <v>3</v>
      </c>
      <c r="G1768">
        <v>3</v>
      </c>
      <c r="H1768" s="4">
        <v>1.7</v>
      </c>
      <c r="I1768" t="s">
        <v>46</v>
      </c>
      <c r="J1768" t="s">
        <v>33</v>
      </c>
      <c r="K1768" t="s">
        <v>47</v>
      </c>
      <c r="L1768">
        <f t="shared" si="54"/>
        <v>2021</v>
      </c>
      <c r="M1768" t="str">
        <f t="shared" si="55"/>
        <v>COVID Period</v>
      </c>
    </row>
    <row r="1769" spans="1:13" x14ac:dyDescent="0.25">
      <c r="A1769" s="2">
        <v>44417</v>
      </c>
      <c r="B1769" t="s">
        <v>45</v>
      </c>
      <c r="C1769">
        <v>0</v>
      </c>
      <c r="D1769" s="3">
        <v>15.23</v>
      </c>
      <c r="E1769" s="3">
        <v>0</v>
      </c>
      <c r="F1769">
        <v>3</v>
      </c>
      <c r="G1769">
        <v>3</v>
      </c>
      <c r="H1769" s="4">
        <v>3.2</v>
      </c>
      <c r="I1769" t="s">
        <v>46</v>
      </c>
      <c r="J1769" t="s">
        <v>33</v>
      </c>
      <c r="L1769">
        <f t="shared" si="54"/>
        <v>2021</v>
      </c>
      <c r="M1769" t="str">
        <f t="shared" si="55"/>
        <v>COVID Period</v>
      </c>
    </row>
    <row r="1770" spans="1:13" x14ac:dyDescent="0.25">
      <c r="A1770" s="2">
        <v>44424</v>
      </c>
      <c r="B1770" t="s">
        <v>32</v>
      </c>
      <c r="C1770">
        <v>13</v>
      </c>
      <c r="D1770" s="3">
        <v>6.91</v>
      </c>
      <c r="E1770" s="3">
        <v>89.83</v>
      </c>
      <c r="F1770">
        <v>14</v>
      </c>
      <c r="G1770">
        <v>3</v>
      </c>
      <c r="H1770" s="4">
        <v>1.3</v>
      </c>
      <c r="I1770" t="s">
        <v>33</v>
      </c>
      <c r="J1770" t="s">
        <v>33</v>
      </c>
      <c r="L1770">
        <f t="shared" si="54"/>
        <v>2021</v>
      </c>
      <c r="M1770" t="str">
        <f t="shared" si="55"/>
        <v>COVID Period</v>
      </c>
    </row>
    <row r="1771" spans="1:13" x14ac:dyDescent="0.25">
      <c r="A1771" s="2">
        <v>44424</v>
      </c>
      <c r="B1771" t="s">
        <v>34</v>
      </c>
      <c r="C1771">
        <v>13</v>
      </c>
      <c r="D1771" s="3">
        <v>6.87</v>
      </c>
      <c r="E1771" s="3">
        <v>89.31</v>
      </c>
      <c r="F1771">
        <v>17</v>
      </c>
      <c r="G1771">
        <v>7</v>
      </c>
      <c r="H1771" s="4">
        <v>0.7</v>
      </c>
      <c r="I1771" t="s">
        <v>33</v>
      </c>
      <c r="J1771" t="s">
        <v>33</v>
      </c>
      <c r="L1771">
        <f t="shared" si="54"/>
        <v>2021</v>
      </c>
      <c r="M1771" t="str">
        <f t="shared" si="55"/>
        <v>COVID Period</v>
      </c>
    </row>
    <row r="1772" spans="1:13" x14ac:dyDescent="0.25">
      <c r="A1772" s="2">
        <v>44424</v>
      </c>
      <c r="B1772" t="s">
        <v>35</v>
      </c>
      <c r="C1772">
        <v>11</v>
      </c>
      <c r="D1772" s="3">
        <v>5.92</v>
      </c>
      <c r="E1772" s="3">
        <v>65.12</v>
      </c>
      <c r="F1772">
        <v>14</v>
      </c>
      <c r="G1772">
        <v>4</v>
      </c>
      <c r="H1772" s="4">
        <v>1.4</v>
      </c>
      <c r="I1772" t="s">
        <v>33</v>
      </c>
      <c r="J1772" t="s">
        <v>33</v>
      </c>
      <c r="L1772">
        <f t="shared" si="54"/>
        <v>2021</v>
      </c>
      <c r="M1772" t="str">
        <f t="shared" si="55"/>
        <v>COVID Period</v>
      </c>
    </row>
    <row r="1773" spans="1:13" x14ac:dyDescent="0.25">
      <c r="A1773" s="2">
        <v>44424</v>
      </c>
      <c r="B1773" t="s">
        <v>36</v>
      </c>
      <c r="C1773">
        <v>10</v>
      </c>
      <c r="D1773" s="3">
        <v>6.08</v>
      </c>
      <c r="E1773" s="3">
        <v>60.8</v>
      </c>
      <c r="F1773">
        <v>16</v>
      </c>
      <c r="G1773">
        <v>7</v>
      </c>
      <c r="H1773" s="4">
        <v>2.6</v>
      </c>
      <c r="I1773" t="s">
        <v>33</v>
      </c>
      <c r="J1773" t="s">
        <v>33</v>
      </c>
      <c r="L1773">
        <f t="shared" si="54"/>
        <v>2021</v>
      </c>
      <c r="M1773" t="str">
        <f t="shared" si="55"/>
        <v>COVID Period</v>
      </c>
    </row>
    <row r="1774" spans="1:13" x14ac:dyDescent="0.25">
      <c r="A1774" s="2">
        <v>44424</v>
      </c>
      <c r="B1774" t="s">
        <v>37</v>
      </c>
      <c r="C1774">
        <v>25</v>
      </c>
      <c r="D1774" s="3">
        <v>3.11</v>
      </c>
      <c r="E1774" s="3">
        <v>77.75</v>
      </c>
      <c r="F1774">
        <v>33</v>
      </c>
      <c r="G1774">
        <v>13</v>
      </c>
      <c r="H1774" s="4">
        <v>2.7</v>
      </c>
      <c r="I1774" t="s">
        <v>33</v>
      </c>
      <c r="J1774" t="s">
        <v>33</v>
      </c>
      <c r="L1774">
        <f t="shared" si="54"/>
        <v>2021</v>
      </c>
      <c r="M1774" t="str">
        <f t="shared" si="55"/>
        <v>COVID Period</v>
      </c>
    </row>
    <row r="1775" spans="1:13" x14ac:dyDescent="0.25">
      <c r="A1775" s="2">
        <v>44424</v>
      </c>
      <c r="B1775" t="s">
        <v>38</v>
      </c>
      <c r="C1775">
        <v>11</v>
      </c>
      <c r="D1775" s="3">
        <v>8.4499999999999993</v>
      </c>
      <c r="E1775" s="3">
        <v>92.95</v>
      </c>
      <c r="F1775">
        <v>14</v>
      </c>
      <c r="G1775">
        <v>4</v>
      </c>
      <c r="H1775" s="4">
        <v>1.2</v>
      </c>
      <c r="I1775" t="s">
        <v>33</v>
      </c>
      <c r="J1775" t="s">
        <v>33</v>
      </c>
      <c r="L1775">
        <f t="shared" si="54"/>
        <v>2021</v>
      </c>
      <c r="M1775" t="str">
        <f t="shared" si="55"/>
        <v>COVID Period</v>
      </c>
    </row>
    <row r="1776" spans="1:13" x14ac:dyDescent="0.25">
      <c r="A1776" s="2">
        <v>44424</v>
      </c>
      <c r="B1776" t="s">
        <v>39</v>
      </c>
      <c r="C1776">
        <v>29</v>
      </c>
      <c r="D1776" s="3">
        <v>11.42</v>
      </c>
      <c r="E1776" s="3">
        <v>331.18</v>
      </c>
      <c r="F1776">
        <v>38</v>
      </c>
      <c r="G1776">
        <v>14</v>
      </c>
      <c r="H1776" s="4">
        <v>1.3</v>
      </c>
      <c r="I1776" t="s">
        <v>33</v>
      </c>
      <c r="J1776" t="s">
        <v>33</v>
      </c>
      <c r="L1776">
        <f t="shared" si="54"/>
        <v>2021</v>
      </c>
      <c r="M1776" t="str">
        <f t="shared" si="55"/>
        <v>COVID Period</v>
      </c>
    </row>
    <row r="1777" spans="1:13" x14ac:dyDescent="0.25">
      <c r="A1777" s="2">
        <v>44424</v>
      </c>
      <c r="B1777" t="s">
        <v>40</v>
      </c>
      <c r="C1777">
        <v>16</v>
      </c>
      <c r="D1777" s="3">
        <v>0.63</v>
      </c>
      <c r="E1777" s="3">
        <v>10.08</v>
      </c>
      <c r="F1777">
        <v>26</v>
      </c>
      <c r="G1777">
        <v>13</v>
      </c>
      <c r="H1777" s="4">
        <v>1.3</v>
      </c>
      <c r="I1777" t="s">
        <v>46</v>
      </c>
      <c r="J1777" t="s">
        <v>33</v>
      </c>
      <c r="K1777" t="s">
        <v>47</v>
      </c>
      <c r="L1777">
        <f t="shared" si="54"/>
        <v>2021</v>
      </c>
      <c r="M1777" t="str">
        <f t="shared" si="55"/>
        <v>COVID Period</v>
      </c>
    </row>
    <row r="1778" spans="1:13" x14ac:dyDescent="0.25">
      <c r="A1778" s="2">
        <v>44424</v>
      </c>
      <c r="B1778" t="s">
        <v>41</v>
      </c>
      <c r="C1778">
        <v>14</v>
      </c>
      <c r="D1778" s="3">
        <v>1.34</v>
      </c>
      <c r="E1778" s="3">
        <v>18.760000000000002</v>
      </c>
      <c r="F1778">
        <v>20</v>
      </c>
      <c r="G1778">
        <v>8</v>
      </c>
      <c r="H1778" s="4">
        <v>1.8</v>
      </c>
      <c r="I1778" t="s">
        <v>46</v>
      </c>
      <c r="J1778" t="s">
        <v>33</v>
      </c>
      <c r="K1778" t="s">
        <v>47</v>
      </c>
      <c r="L1778">
        <f t="shared" si="54"/>
        <v>2021</v>
      </c>
      <c r="M1778" t="str">
        <f t="shared" si="55"/>
        <v>COVID Period</v>
      </c>
    </row>
    <row r="1779" spans="1:13" x14ac:dyDescent="0.25">
      <c r="A1779" s="2">
        <v>44424</v>
      </c>
      <c r="B1779" t="s">
        <v>42</v>
      </c>
      <c r="C1779">
        <v>23</v>
      </c>
      <c r="D1779" s="3">
        <v>4.16</v>
      </c>
      <c r="E1779" s="3">
        <v>95.68</v>
      </c>
      <c r="F1779">
        <v>28</v>
      </c>
      <c r="G1779">
        <v>6</v>
      </c>
      <c r="H1779" s="4">
        <v>4.4000000000000004</v>
      </c>
      <c r="I1779" t="s">
        <v>46</v>
      </c>
      <c r="J1779" t="s">
        <v>33</v>
      </c>
      <c r="K1779" t="s">
        <v>47</v>
      </c>
      <c r="L1779">
        <f t="shared" si="54"/>
        <v>2021</v>
      </c>
      <c r="M1779" t="str">
        <f t="shared" si="55"/>
        <v>COVID Period</v>
      </c>
    </row>
    <row r="1780" spans="1:13" x14ac:dyDescent="0.25">
      <c r="A1780" s="2">
        <v>44424</v>
      </c>
      <c r="B1780" t="s">
        <v>43</v>
      </c>
      <c r="C1780">
        <v>15</v>
      </c>
      <c r="D1780" s="3">
        <v>5.35</v>
      </c>
      <c r="E1780" s="3">
        <v>80.25</v>
      </c>
      <c r="F1780">
        <v>24</v>
      </c>
      <c r="G1780">
        <v>13</v>
      </c>
      <c r="H1780" s="4">
        <v>2.4</v>
      </c>
      <c r="I1780" t="s">
        <v>46</v>
      </c>
      <c r="J1780" t="s">
        <v>33</v>
      </c>
      <c r="L1780">
        <f t="shared" si="54"/>
        <v>2021</v>
      </c>
      <c r="M1780" t="str">
        <f t="shared" si="55"/>
        <v>COVID Period</v>
      </c>
    </row>
    <row r="1781" spans="1:13" x14ac:dyDescent="0.25">
      <c r="A1781" s="2">
        <v>44424</v>
      </c>
      <c r="B1781" t="s">
        <v>44</v>
      </c>
      <c r="C1781">
        <v>0</v>
      </c>
      <c r="D1781" s="3">
        <v>4.9800000000000004</v>
      </c>
      <c r="E1781" s="3">
        <v>0</v>
      </c>
      <c r="F1781">
        <v>3</v>
      </c>
      <c r="G1781">
        <v>3</v>
      </c>
      <c r="H1781" s="4">
        <v>3.2</v>
      </c>
      <c r="I1781" t="s">
        <v>46</v>
      </c>
      <c r="J1781" t="s">
        <v>33</v>
      </c>
      <c r="K1781" t="s">
        <v>47</v>
      </c>
      <c r="L1781">
        <f t="shared" si="54"/>
        <v>2021</v>
      </c>
      <c r="M1781" t="str">
        <f t="shared" si="55"/>
        <v>COVID Period</v>
      </c>
    </row>
    <row r="1782" spans="1:13" x14ac:dyDescent="0.25">
      <c r="A1782" s="2">
        <v>44424</v>
      </c>
      <c r="B1782" t="s">
        <v>45</v>
      </c>
      <c r="C1782">
        <v>0</v>
      </c>
      <c r="D1782" s="3">
        <v>15</v>
      </c>
      <c r="E1782" s="3">
        <v>0</v>
      </c>
      <c r="F1782">
        <v>3</v>
      </c>
      <c r="G1782">
        <v>3</v>
      </c>
      <c r="H1782" s="4">
        <v>2</v>
      </c>
      <c r="I1782" t="s">
        <v>46</v>
      </c>
      <c r="J1782" t="s">
        <v>33</v>
      </c>
      <c r="L1782">
        <f t="shared" si="54"/>
        <v>2021</v>
      </c>
      <c r="M1782" t="str">
        <f t="shared" si="55"/>
        <v>COVID Period</v>
      </c>
    </row>
    <row r="1783" spans="1:13" x14ac:dyDescent="0.25">
      <c r="A1783" s="2">
        <v>44431</v>
      </c>
      <c r="B1783" t="s">
        <v>32</v>
      </c>
      <c r="C1783">
        <v>20</v>
      </c>
      <c r="D1783" s="3">
        <v>6.99</v>
      </c>
      <c r="E1783" s="3">
        <v>139.80000000000001</v>
      </c>
      <c r="F1783">
        <v>25</v>
      </c>
      <c r="G1783">
        <v>8</v>
      </c>
      <c r="H1783" s="4">
        <v>2.7</v>
      </c>
      <c r="I1783" t="s">
        <v>33</v>
      </c>
      <c r="J1783" t="s">
        <v>33</v>
      </c>
      <c r="L1783">
        <f t="shared" si="54"/>
        <v>2021</v>
      </c>
      <c r="M1783" t="str">
        <f t="shared" si="55"/>
        <v>COVID Period</v>
      </c>
    </row>
    <row r="1784" spans="1:13" x14ac:dyDescent="0.25">
      <c r="A1784" s="2">
        <v>44431</v>
      </c>
      <c r="B1784" t="s">
        <v>34</v>
      </c>
      <c r="C1784">
        <v>16</v>
      </c>
      <c r="D1784" s="3">
        <v>6.9</v>
      </c>
      <c r="E1784" s="3">
        <v>110.4</v>
      </c>
      <c r="F1784">
        <v>17</v>
      </c>
      <c r="G1784">
        <v>2</v>
      </c>
      <c r="H1784" s="4">
        <v>2.1</v>
      </c>
      <c r="I1784" t="s">
        <v>33</v>
      </c>
      <c r="J1784" t="s">
        <v>46</v>
      </c>
      <c r="L1784">
        <f t="shared" si="54"/>
        <v>2021</v>
      </c>
      <c r="M1784" t="str">
        <f t="shared" si="55"/>
        <v>COVID Period</v>
      </c>
    </row>
    <row r="1785" spans="1:13" x14ac:dyDescent="0.25">
      <c r="A1785" s="2">
        <v>44431</v>
      </c>
      <c r="B1785" t="s">
        <v>35</v>
      </c>
      <c r="C1785">
        <v>8</v>
      </c>
      <c r="D1785" s="3">
        <v>5.96</v>
      </c>
      <c r="E1785" s="3">
        <v>47.68</v>
      </c>
      <c r="F1785">
        <v>13</v>
      </c>
      <c r="G1785">
        <v>6</v>
      </c>
      <c r="H1785" s="4">
        <v>1.3</v>
      </c>
      <c r="I1785" t="s">
        <v>33</v>
      </c>
      <c r="J1785" t="s">
        <v>33</v>
      </c>
      <c r="L1785">
        <f t="shared" si="54"/>
        <v>2021</v>
      </c>
      <c r="M1785" t="str">
        <f t="shared" si="55"/>
        <v>COVID Period</v>
      </c>
    </row>
    <row r="1786" spans="1:13" x14ac:dyDescent="0.25">
      <c r="A1786" s="2">
        <v>44431</v>
      </c>
      <c r="B1786" t="s">
        <v>36</v>
      </c>
      <c r="C1786">
        <v>12</v>
      </c>
      <c r="D1786" s="3">
        <v>6.14</v>
      </c>
      <c r="E1786" s="3">
        <v>73.680000000000007</v>
      </c>
      <c r="F1786">
        <v>18</v>
      </c>
      <c r="G1786">
        <v>9</v>
      </c>
      <c r="H1786" s="4">
        <v>0.4</v>
      </c>
      <c r="I1786" t="s">
        <v>33</v>
      </c>
      <c r="J1786" t="s">
        <v>33</v>
      </c>
      <c r="L1786">
        <f t="shared" si="54"/>
        <v>2021</v>
      </c>
      <c r="M1786" t="str">
        <f t="shared" si="55"/>
        <v>COVID Period</v>
      </c>
    </row>
    <row r="1787" spans="1:13" x14ac:dyDescent="0.25">
      <c r="A1787" s="2">
        <v>44431</v>
      </c>
      <c r="B1787" t="s">
        <v>37</v>
      </c>
      <c r="C1787">
        <v>22</v>
      </c>
      <c r="D1787" s="3">
        <v>3.24</v>
      </c>
      <c r="E1787" s="3">
        <v>71.28</v>
      </c>
      <c r="F1787">
        <v>27</v>
      </c>
      <c r="G1787">
        <v>7</v>
      </c>
      <c r="H1787" s="4">
        <v>2.5</v>
      </c>
      <c r="I1787" t="s">
        <v>33</v>
      </c>
      <c r="J1787" t="s">
        <v>33</v>
      </c>
      <c r="L1787">
        <f t="shared" si="54"/>
        <v>2021</v>
      </c>
      <c r="M1787" t="str">
        <f t="shared" si="55"/>
        <v>COVID Period</v>
      </c>
    </row>
    <row r="1788" spans="1:13" x14ac:dyDescent="0.25">
      <c r="A1788" s="2">
        <v>44431</v>
      </c>
      <c r="B1788" t="s">
        <v>38</v>
      </c>
      <c r="C1788">
        <v>12</v>
      </c>
      <c r="D1788" s="3">
        <v>8.3699999999999992</v>
      </c>
      <c r="E1788" s="3">
        <v>100.44</v>
      </c>
      <c r="F1788">
        <v>17</v>
      </c>
      <c r="G1788">
        <v>6</v>
      </c>
      <c r="H1788" s="4">
        <v>0.6</v>
      </c>
      <c r="I1788" t="s">
        <v>33</v>
      </c>
      <c r="J1788" t="s">
        <v>33</v>
      </c>
      <c r="L1788">
        <f t="shared" si="54"/>
        <v>2021</v>
      </c>
      <c r="M1788" t="str">
        <f t="shared" si="55"/>
        <v>COVID Period</v>
      </c>
    </row>
    <row r="1789" spans="1:13" x14ac:dyDescent="0.25">
      <c r="A1789" s="2">
        <v>44431</v>
      </c>
      <c r="B1789" t="s">
        <v>39</v>
      </c>
      <c r="C1789">
        <v>30</v>
      </c>
      <c r="D1789" s="3">
        <v>11.61</v>
      </c>
      <c r="E1789" s="3">
        <v>348.3</v>
      </c>
      <c r="F1789">
        <v>47</v>
      </c>
      <c r="G1789">
        <v>23</v>
      </c>
      <c r="H1789" s="4">
        <v>0.9</v>
      </c>
      <c r="I1789" t="s">
        <v>33</v>
      </c>
      <c r="J1789" t="s">
        <v>33</v>
      </c>
      <c r="L1789">
        <f t="shared" si="54"/>
        <v>2021</v>
      </c>
      <c r="M1789" t="str">
        <f t="shared" si="55"/>
        <v>COVID Period</v>
      </c>
    </row>
    <row r="1790" spans="1:13" x14ac:dyDescent="0.25">
      <c r="A1790" s="2">
        <v>44431</v>
      </c>
      <c r="B1790" t="s">
        <v>40</v>
      </c>
      <c r="C1790">
        <v>21</v>
      </c>
      <c r="D1790" s="3">
        <v>0.65</v>
      </c>
      <c r="E1790" s="3">
        <v>13.65</v>
      </c>
      <c r="F1790">
        <v>24</v>
      </c>
      <c r="G1790">
        <v>4</v>
      </c>
      <c r="H1790" s="4">
        <v>2</v>
      </c>
      <c r="I1790" t="s">
        <v>46</v>
      </c>
      <c r="J1790" t="s">
        <v>33</v>
      </c>
      <c r="K1790" t="s">
        <v>47</v>
      </c>
      <c r="L1790">
        <f t="shared" si="54"/>
        <v>2021</v>
      </c>
      <c r="M1790" t="str">
        <f t="shared" si="55"/>
        <v>COVID Period</v>
      </c>
    </row>
    <row r="1791" spans="1:13" x14ac:dyDescent="0.25">
      <c r="A1791" s="2">
        <v>44431</v>
      </c>
      <c r="B1791" t="s">
        <v>41</v>
      </c>
      <c r="C1791">
        <v>11</v>
      </c>
      <c r="D1791" s="3">
        <v>1.31</v>
      </c>
      <c r="E1791" s="3">
        <v>14.41</v>
      </c>
      <c r="F1791">
        <v>15</v>
      </c>
      <c r="G1791">
        <v>7</v>
      </c>
      <c r="H1791" s="4">
        <v>2.5</v>
      </c>
      <c r="I1791" t="s">
        <v>46</v>
      </c>
      <c r="J1791" t="s">
        <v>33</v>
      </c>
      <c r="K1791" t="s">
        <v>47</v>
      </c>
      <c r="L1791">
        <f t="shared" si="54"/>
        <v>2021</v>
      </c>
      <c r="M1791" t="str">
        <f t="shared" si="55"/>
        <v>COVID Period</v>
      </c>
    </row>
    <row r="1792" spans="1:13" x14ac:dyDescent="0.25">
      <c r="A1792" s="2">
        <v>44431</v>
      </c>
      <c r="B1792" t="s">
        <v>42</v>
      </c>
      <c r="C1792">
        <v>22</v>
      </c>
      <c r="D1792" s="3">
        <v>4.38</v>
      </c>
      <c r="E1792" s="3">
        <v>96.36</v>
      </c>
      <c r="F1792">
        <v>33</v>
      </c>
      <c r="G1792">
        <v>17</v>
      </c>
      <c r="H1792" s="4">
        <v>3.3</v>
      </c>
      <c r="I1792" t="s">
        <v>46</v>
      </c>
      <c r="J1792" t="s">
        <v>33</v>
      </c>
      <c r="K1792" t="s">
        <v>47</v>
      </c>
      <c r="L1792">
        <f t="shared" si="54"/>
        <v>2021</v>
      </c>
      <c r="M1792" t="str">
        <f t="shared" si="55"/>
        <v>COVID Period</v>
      </c>
    </row>
    <row r="1793" spans="1:13" x14ac:dyDescent="0.25">
      <c r="A1793" s="2">
        <v>44431</v>
      </c>
      <c r="B1793" t="s">
        <v>43</v>
      </c>
      <c r="C1793">
        <v>12</v>
      </c>
      <c r="D1793" s="3">
        <v>5.69</v>
      </c>
      <c r="E1793" s="3">
        <v>68.28</v>
      </c>
      <c r="F1793">
        <v>17</v>
      </c>
      <c r="G1793">
        <v>6</v>
      </c>
      <c r="H1793" s="4">
        <v>0.8</v>
      </c>
      <c r="I1793" t="s">
        <v>46</v>
      </c>
      <c r="J1793" t="s">
        <v>33</v>
      </c>
      <c r="L1793">
        <f t="shared" si="54"/>
        <v>2021</v>
      </c>
      <c r="M1793" t="str">
        <f t="shared" si="55"/>
        <v>COVID Period</v>
      </c>
    </row>
    <row r="1794" spans="1:13" x14ac:dyDescent="0.25">
      <c r="A1794" s="2">
        <v>44431</v>
      </c>
      <c r="B1794" t="s">
        <v>44</v>
      </c>
      <c r="C1794">
        <v>0</v>
      </c>
      <c r="D1794" s="3">
        <v>4.6500000000000004</v>
      </c>
      <c r="E1794" s="3">
        <v>0</v>
      </c>
      <c r="F1794">
        <v>3</v>
      </c>
      <c r="G1794">
        <v>3</v>
      </c>
      <c r="H1794" s="4">
        <v>3.5</v>
      </c>
      <c r="I1794" t="s">
        <v>46</v>
      </c>
      <c r="J1794" t="s">
        <v>33</v>
      </c>
      <c r="K1794" t="s">
        <v>47</v>
      </c>
      <c r="L1794">
        <f t="shared" ref="L1794:L1857" si="56">YEAR(A1794)</f>
        <v>2021</v>
      </c>
      <c r="M1794" t="str">
        <f t="shared" ref="M1794:M1857" si="57">IF(L1794=2019,"Pre-COVID","COVID Period")</f>
        <v>COVID Period</v>
      </c>
    </row>
    <row r="1795" spans="1:13" x14ac:dyDescent="0.25">
      <c r="A1795" s="2">
        <v>44431</v>
      </c>
      <c r="B1795" t="s">
        <v>45</v>
      </c>
      <c r="C1795">
        <v>1</v>
      </c>
      <c r="D1795" s="3">
        <v>14.46</v>
      </c>
      <c r="E1795" s="3">
        <v>14.46</v>
      </c>
      <c r="F1795">
        <v>3</v>
      </c>
      <c r="G1795">
        <v>2</v>
      </c>
      <c r="H1795" s="4">
        <v>3.4</v>
      </c>
      <c r="I1795" t="s">
        <v>46</v>
      </c>
      <c r="J1795" t="s">
        <v>33</v>
      </c>
      <c r="L1795">
        <f t="shared" si="56"/>
        <v>2021</v>
      </c>
      <c r="M1795" t="str">
        <f t="shared" si="57"/>
        <v>COVID Period</v>
      </c>
    </row>
    <row r="1796" spans="1:13" x14ac:dyDescent="0.25">
      <c r="A1796" s="2">
        <v>44438</v>
      </c>
      <c r="B1796" t="s">
        <v>32</v>
      </c>
      <c r="C1796">
        <v>23</v>
      </c>
      <c r="D1796" s="3">
        <v>6.98</v>
      </c>
      <c r="E1796" s="3">
        <v>160.54</v>
      </c>
      <c r="F1796">
        <v>30</v>
      </c>
      <c r="G1796">
        <v>9</v>
      </c>
      <c r="H1796" s="4">
        <v>2.8</v>
      </c>
      <c r="I1796" t="s">
        <v>33</v>
      </c>
      <c r="J1796" t="s">
        <v>33</v>
      </c>
      <c r="L1796">
        <f t="shared" si="56"/>
        <v>2021</v>
      </c>
      <c r="M1796" t="str">
        <f t="shared" si="57"/>
        <v>COVID Period</v>
      </c>
    </row>
    <row r="1797" spans="1:13" x14ac:dyDescent="0.25">
      <c r="A1797" s="2">
        <v>44438</v>
      </c>
      <c r="B1797" t="s">
        <v>34</v>
      </c>
      <c r="C1797">
        <v>16</v>
      </c>
      <c r="D1797" s="3">
        <v>7.1</v>
      </c>
      <c r="E1797" s="3">
        <v>113.6</v>
      </c>
      <c r="F1797">
        <v>22</v>
      </c>
      <c r="G1797">
        <v>6</v>
      </c>
      <c r="H1797" s="4">
        <v>2.2000000000000002</v>
      </c>
      <c r="I1797" t="s">
        <v>33</v>
      </c>
      <c r="J1797" t="s">
        <v>33</v>
      </c>
      <c r="L1797">
        <f t="shared" si="56"/>
        <v>2021</v>
      </c>
      <c r="M1797" t="str">
        <f t="shared" si="57"/>
        <v>COVID Period</v>
      </c>
    </row>
    <row r="1798" spans="1:13" x14ac:dyDescent="0.25">
      <c r="A1798" s="2">
        <v>44438</v>
      </c>
      <c r="B1798" t="s">
        <v>35</v>
      </c>
      <c r="C1798">
        <v>10</v>
      </c>
      <c r="D1798" s="3">
        <v>5.86</v>
      </c>
      <c r="E1798" s="3">
        <v>58.6</v>
      </c>
      <c r="F1798">
        <v>11</v>
      </c>
      <c r="G1798">
        <v>1</v>
      </c>
      <c r="H1798" s="4">
        <v>2.5</v>
      </c>
      <c r="I1798" t="s">
        <v>33</v>
      </c>
      <c r="J1798" t="s">
        <v>33</v>
      </c>
      <c r="L1798">
        <f t="shared" si="56"/>
        <v>2021</v>
      </c>
      <c r="M1798" t="str">
        <f t="shared" si="57"/>
        <v>COVID Period</v>
      </c>
    </row>
    <row r="1799" spans="1:13" x14ac:dyDescent="0.25">
      <c r="A1799" s="2">
        <v>44438</v>
      </c>
      <c r="B1799" t="s">
        <v>36</v>
      </c>
      <c r="C1799">
        <v>13</v>
      </c>
      <c r="D1799" s="3">
        <v>5.98</v>
      </c>
      <c r="E1799" s="3">
        <v>77.739999999999995</v>
      </c>
      <c r="F1799">
        <v>14</v>
      </c>
      <c r="G1799">
        <v>2</v>
      </c>
      <c r="H1799" s="4">
        <v>2.7</v>
      </c>
      <c r="I1799" t="s">
        <v>33</v>
      </c>
      <c r="J1799" t="s">
        <v>33</v>
      </c>
      <c r="L1799">
        <f t="shared" si="56"/>
        <v>2021</v>
      </c>
      <c r="M1799" t="str">
        <f t="shared" si="57"/>
        <v>COVID Period</v>
      </c>
    </row>
    <row r="1800" spans="1:13" x14ac:dyDescent="0.25">
      <c r="A1800" s="2">
        <v>44438</v>
      </c>
      <c r="B1800" t="s">
        <v>37</v>
      </c>
      <c r="C1800">
        <v>21</v>
      </c>
      <c r="D1800" s="3">
        <v>3.14</v>
      </c>
      <c r="E1800" s="3">
        <v>65.94</v>
      </c>
      <c r="F1800">
        <v>35</v>
      </c>
      <c r="G1800">
        <v>19</v>
      </c>
      <c r="H1800" s="4">
        <v>1.2</v>
      </c>
      <c r="I1800" t="s">
        <v>33</v>
      </c>
      <c r="J1800" t="s">
        <v>33</v>
      </c>
      <c r="L1800">
        <f t="shared" si="56"/>
        <v>2021</v>
      </c>
      <c r="M1800" t="str">
        <f t="shared" si="57"/>
        <v>COVID Period</v>
      </c>
    </row>
    <row r="1801" spans="1:13" x14ac:dyDescent="0.25">
      <c r="A1801" s="2">
        <v>44438</v>
      </c>
      <c r="B1801" t="s">
        <v>38</v>
      </c>
      <c r="C1801">
        <v>12</v>
      </c>
      <c r="D1801" s="3">
        <v>8.84</v>
      </c>
      <c r="E1801" s="3">
        <v>106.08</v>
      </c>
      <c r="F1801">
        <v>19</v>
      </c>
      <c r="G1801">
        <v>9</v>
      </c>
      <c r="H1801" s="4">
        <v>1</v>
      </c>
      <c r="I1801" t="s">
        <v>33</v>
      </c>
      <c r="J1801" t="s">
        <v>33</v>
      </c>
      <c r="L1801">
        <f t="shared" si="56"/>
        <v>2021</v>
      </c>
      <c r="M1801" t="str">
        <f t="shared" si="57"/>
        <v>COVID Period</v>
      </c>
    </row>
    <row r="1802" spans="1:13" x14ac:dyDescent="0.25">
      <c r="A1802" s="2">
        <v>44438</v>
      </c>
      <c r="B1802" t="s">
        <v>39</v>
      </c>
      <c r="C1802">
        <v>24</v>
      </c>
      <c r="D1802" s="3">
        <v>11.17</v>
      </c>
      <c r="E1802" s="3">
        <v>268.08</v>
      </c>
      <c r="F1802">
        <v>31</v>
      </c>
      <c r="G1802">
        <v>10</v>
      </c>
      <c r="H1802" s="4">
        <v>1.7</v>
      </c>
      <c r="I1802" t="s">
        <v>33</v>
      </c>
      <c r="J1802" t="s">
        <v>33</v>
      </c>
      <c r="L1802">
        <f t="shared" si="56"/>
        <v>2021</v>
      </c>
      <c r="M1802" t="str">
        <f t="shared" si="57"/>
        <v>COVID Period</v>
      </c>
    </row>
    <row r="1803" spans="1:13" x14ac:dyDescent="0.25">
      <c r="A1803" s="2">
        <v>44438</v>
      </c>
      <c r="B1803" t="s">
        <v>40</v>
      </c>
      <c r="C1803">
        <v>24</v>
      </c>
      <c r="D1803" s="3">
        <v>0.63</v>
      </c>
      <c r="E1803" s="3">
        <v>15.12</v>
      </c>
      <c r="F1803">
        <v>34</v>
      </c>
      <c r="G1803">
        <v>16</v>
      </c>
      <c r="H1803" s="4">
        <v>3.4</v>
      </c>
      <c r="I1803" t="s">
        <v>46</v>
      </c>
      <c r="J1803" t="s">
        <v>33</v>
      </c>
      <c r="K1803" t="s">
        <v>47</v>
      </c>
      <c r="L1803">
        <f t="shared" si="56"/>
        <v>2021</v>
      </c>
      <c r="M1803" t="str">
        <f t="shared" si="57"/>
        <v>COVID Period</v>
      </c>
    </row>
    <row r="1804" spans="1:13" x14ac:dyDescent="0.25">
      <c r="A1804" s="2">
        <v>44438</v>
      </c>
      <c r="B1804" t="s">
        <v>41</v>
      </c>
      <c r="C1804">
        <v>17</v>
      </c>
      <c r="D1804" s="3">
        <v>1.31</v>
      </c>
      <c r="E1804" s="3">
        <v>22.27</v>
      </c>
      <c r="F1804">
        <v>27</v>
      </c>
      <c r="G1804">
        <v>11</v>
      </c>
      <c r="H1804" s="4">
        <v>4</v>
      </c>
      <c r="I1804" t="s">
        <v>46</v>
      </c>
      <c r="J1804" t="s">
        <v>33</v>
      </c>
      <c r="K1804" t="s">
        <v>47</v>
      </c>
      <c r="L1804">
        <f t="shared" si="56"/>
        <v>2021</v>
      </c>
      <c r="M1804" t="str">
        <f t="shared" si="57"/>
        <v>COVID Period</v>
      </c>
    </row>
    <row r="1805" spans="1:13" x14ac:dyDescent="0.25">
      <c r="A1805" s="2">
        <v>44438</v>
      </c>
      <c r="B1805" t="s">
        <v>42</v>
      </c>
      <c r="C1805">
        <v>23</v>
      </c>
      <c r="D1805" s="3">
        <v>4.3499999999999996</v>
      </c>
      <c r="E1805" s="3">
        <v>100.05</v>
      </c>
      <c r="F1805">
        <v>38</v>
      </c>
      <c r="G1805">
        <v>15</v>
      </c>
      <c r="H1805" s="4">
        <v>2.2999999999999998</v>
      </c>
      <c r="I1805" t="s">
        <v>46</v>
      </c>
      <c r="J1805" t="s">
        <v>33</v>
      </c>
      <c r="K1805" t="s">
        <v>47</v>
      </c>
      <c r="L1805">
        <f t="shared" si="56"/>
        <v>2021</v>
      </c>
      <c r="M1805" t="str">
        <f t="shared" si="57"/>
        <v>COVID Period</v>
      </c>
    </row>
    <row r="1806" spans="1:13" x14ac:dyDescent="0.25">
      <c r="A1806" s="2">
        <v>44438</v>
      </c>
      <c r="B1806" t="s">
        <v>43</v>
      </c>
      <c r="C1806">
        <v>16</v>
      </c>
      <c r="D1806" s="3">
        <v>5.38</v>
      </c>
      <c r="E1806" s="3">
        <v>86.08</v>
      </c>
      <c r="F1806">
        <v>24</v>
      </c>
      <c r="G1806">
        <v>11</v>
      </c>
      <c r="H1806" s="4">
        <v>3.3</v>
      </c>
      <c r="I1806" t="s">
        <v>46</v>
      </c>
      <c r="J1806" t="s">
        <v>33</v>
      </c>
      <c r="L1806">
        <f t="shared" si="56"/>
        <v>2021</v>
      </c>
      <c r="M1806" t="str">
        <f t="shared" si="57"/>
        <v>COVID Period</v>
      </c>
    </row>
    <row r="1807" spans="1:13" x14ac:dyDescent="0.25">
      <c r="A1807" s="2">
        <v>44438</v>
      </c>
      <c r="B1807" t="s">
        <v>44</v>
      </c>
      <c r="C1807">
        <v>0</v>
      </c>
      <c r="D1807" s="3">
        <v>4.96</v>
      </c>
      <c r="E1807" s="3">
        <v>0</v>
      </c>
      <c r="F1807">
        <v>3</v>
      </c>
      <c r="G1807">
        <v>3</v>
      </c>
      <c r="H1807" s="4">
        <v>2.8</v>
      </c>
      <c r="I1807" t="s">
        <v>46</v>
      </c>
      <c r="J1807" t="s">
        <v>33</v>
      </c>
      <c r="K1807" t="s">
        <v>47</v>
      </c>
      <c r="L1807">
        <f t="shared" si="56"/>
        <v>2021</v>
      </c>
      <c r="M1807" t="str">
        <f t="shared" si="57"/>
        <v>COVID Period</v>
      </c>
    </row>
    <row r="1808" spans="1:13" x14ac:dyDescent="0.25">
      <c r="A1808" s="2">
        <v>44438</v>
      </c>
      <c r="B1808" t="s">
        <v>45</v>
      </c>
      <c r="C1808">
        <v>0</v>
      </c>
      <c r="D1808" s="3">
        <v>14.64</v>
      </c>
      <c r="E1808" s="3">
        <v>0</v>
      </c>
      <c r="F1808">
        <v>3</v>
      </c>
      <c r="G1808">
        <v>4</v>
      </c>
      <c r="H1808" s="4">
        <v>3</v>
      </c>
      <c r="I1808" t="s">
        <v>46</v>
      </c>
      <c r="J1808" t="s">
        <v>33</v>
      </c>
      <c r="L1808">
        <f t="shared" si="56"/>
        <v>2021</v>
      </c>
      <c r="M1808" t="str">
        <f t="shared" si="57"/>
        <v>COVID Period</v>
      </c>
    </row>
    <row r="1809" spans="1:13" x14ac:dyDescent="0.25">
      <c r="A1809" s="2">
        <v>44445</v>
      </c>
      <c r="B1809" t="s">
        <v>32</v>
      </c>
      <c r="C1809">
        <v>20</v>
      </c>
      <c r="D1809" s="3">
        <v>7.05</v>
      </c>
      <c r="E1809" s="3">
        <v>141</v>
      </c>
      <c r="F1809">
        <v>32</v>
      </c>
      <c r="G1809">
        <v>15</v>
      </c>
      <c r="H1809" s="4">
        <v>1.4</v>
      </c>
      <c r="I1809" t="s">
        <v>33</v>
      </c>
      <c r="J1809" t="s">
        <v>33</v>
      </c>
      <c r="L1809">
        <f t="shared" si="56"/>
        <v>2021</v>
      </c>
      <c r="M1809" t="str">
        <f t="shared" si="57"/>
        <v>COVID Period</v>
      </c>
    </row>
    <row r="1810" spans="1:13" x14ac:dyDescent="0.25">
      <c r="A1810" s="2">
        <v>44445</v>
      </c>
      <c r="B1810" t="s">
        <v>34</v>
      </c>
      <c r="C1810">
        <v>15</v>
      </c>
      <c r="D1810" s="3">
        <v>6.87</v>
      </c>
      <c r="E1810" s="3">
        <v>103.05</v>
      </c>
      <c r="F1810">
        <v>24</v>
      </c>
      <c r="G1810">
        <v>11</v>
      </c>
      <c r="H1810" s="4">
        <v>1.6</v>
      </c>
      <c r="I1810" t="s">
        <v>33</v>
      </c>
      <c r="J1810" t="s">
        <v>33</v>
      </c>
      <c r="L1810">
        <f t="shared" si="56"/>
        <v>2021</v>
      </c>
      <c r="M1810" t="str">
        <f t="shared" si="57"/>
        <v>COVID Period</v>
      </c>
    </row>
    <row r="1811" spans="1:13" x14ac:dyDescent="0.25">
      <c r="A1811" s="2">
        <v>44445</v>
      </c>
      <c r="B1811" t="s">
        <v>35</v>
      </c>
      <c r="C1811">
        <v>9</v>
      </c>
      <c r="D1811" s="3">
        <v>5.89</v>
      </c>
      <c r="E1811" s="3">
        <v>53.01</v>
      </c>
      <c r="F1811">
        <v>12</v>
      </c>
      <c r="G1811">
        <v>5</v>
      </c>
      <c r="H1811" s="4">
        <v>2</v>
      </c>
      <c r="I1811" t="s">
        <v>33</v>
      </c>
      <c r="J1811" t="s">
        <v>33</v>
      </c>
      <c r="L1811">
        <f t="shared" si="56"/>
        <v>2021</v>
      </c>
      <c r="M1811" t="str">
        <f t="shared" si="57"/>
        <v>COVID Period</v>
      </c>
    </row>
    <row r="1812" spans="1:13" x14ac:dyDescent="0.25">
      <c r="A1812" s="2">
        <v>44445</v>
      </c>
      <c r="B1812" t="s">
        <v>36</v>
      </c>
      <c r="C1812">
        <v>10</v>
      </c>
      <c r="D1812" s="3">
        <v>6.12</v>
      </c>
      <c r="E1812" s="3">
        <v>61.2</v>
      </c>
      <c r="F1812">
        <v>15</v>
      </c>
      <c r="G1812">
        <v>7</v>
      </c>
      <c r="H1812" s="4">
        <v>0.1</v>
      </c>
      <c r="I1812" t="s">
        <v>33</v>
      </c>
      <c r="J1812" t="s">
        <v>33</v>
      </c>
      <c r="L1812">
        <f t="shared" si="56"/>
        <v>2021</v>
      </c>
      <c r="M1812" t="str">
        <f t="shared" si="57"/>
        <v>COVID Period</v>
      </c>
    </row>
    <row r="1813" spans="1:13" x14ac:dyDescent="0.25">
      <c r="A1813" s="2">
        <v>44445</v>
      </c>
      <c r="B1813" t="s">
        <v>37</v>
      </c>
      <c r="C1813">
        <v>31</v>
      </c>
      <c r="D1813" s="3">
        <v>3.1</v>
      </c>
      <c r="E1813" s="3">
        <v>96.1</v>
      </c>
      <c r="F1813">
        <v>32</v>
      </c>
      <c r="G1813">
        <v>5</v>
      </c>
      <c r="H1813" s="4">
        <v>1.6</v>
      </c>
      <c r="I1813" t="s">
        <v>33</v>
      </c>
      <c r="J1813" t="s">
        <v>33</v>
      </c>
      <c r="L1813">
        <f t="shared" si="56"/>
        <v>2021</v>
      </c>
      <c r="M1813" t="str">
        <f t="shared" si="57"/>
        <v>COVID Period</v>
      </c>
    </row>
    <row r="1814" spans="1:13" x14ac:dyDescent="0.25">
      <c r="A1814" s="2">
        <v>44445</v>
      </c>
      <c r="B1814" t="s">
        <v>38</v>
      </c>
      <c r="C1814">
        <v>16</v>
      </c>
      <c r="D1814" s="3">
        <v>8.24</v>
      </c>
      <c r="E1814" s="3">
        <v>131.84</v>
      </c>
      <c r="F1814">
        <v>22</v>
      </c>
      <c r="G1814">
        <v>7</v>
      </c>
      <c r="H1814" s="4">
        <v>1.7</v>
      </c>
      <c r="I1814" t="s">
        <v>33</v>
      </c>
      <c r="J1814" t="s">
        <v>33</v>
      </c>
      <c r="L1814">
        <f t="shared" si="56"/>
        <v>2021</v>
      </c>
      <c r="M1814" t="str">
        <f t="shared" si="57"/>
        <v>COVID Period</v>
      </c>
    </row>
    <row r="1815" spans="1:13" x14ac:dyDescent="0.25">
      <c r="A1815" s="2">
        <v>44445</v>
      </c>
      <c r="B1815" t="s">
        <v>39</v>
      </c>
      <c r="C1815">
        <v>24</v>
      </c>
      <c r="D1815" s="3">
        <v>12.03</v>
      </c>
      <c r="E1815" s="3">
        <v>288.72000000000003</v>
      </c>
      <c r="F1815">
        <v>26</v>
      </c>
      <c r="G1815">
        <v>3</v>
      </c>
      <c r="H1815" s="4">
        <v>1.6</v>
      </c>
      <c r="I1815" t="s">
        <v>33</v>
      </c>
      <c r="J1815" t="s">
        <v>33</v>
      </c>
      <c r="L1815">
        <f t="shared" si="56"/>
        <v>2021</v>
      </c>
      <c r="M1815" t="str">
        <f t="shared" si="57"/>
        <v>COVID Period</v>
      </c>
    </row>
    <row r="1816" spans="1:13" x14ac:dyDescent="0.25">
      <c r="A1816" s="2">
        <v>44445</v>
      </c>
      <c r="B1816" t="s">
        <v>40</v>
      </c>
      <c r="C1816">
        <v>35</v>
      </c>
      <c r="D1816" s="3">
        <v>0.65</v>
      </c>
      <c r="E1816" s="3">
        <v>22.75</v>
      </c>
      <c r="F1816">
        <v>40</v>
      </c>
      <c r="G1816">
        <v>6</v>
      </c>
      <c r="H1816" s="4">
        <v>3.9</v>
      </c>
      <c r="I1816" t="s">
        <v>46</v>
      </c>
      <c r="J1816" t="s">
        <v>33</v>
      </c>
      <c r="K1816" t="s">
        <v>47</v>
      </c>
      <c r="L1816">
        <f t="shared" si="56"/>
        <v>2021</v>
      </c>
      <c r="M1816" t="str">
        <f t="shared" si="57"/>
        <v>COVID Period</v>
      </c>
    </row>
    <row r="1817" spans="1:13" x14ac:dyDescent="0.25">
      <c r="A1817" s="2">
        <v>44445</v>
      </c>
      <c r="B1817" t="s">
        <v>41</v>
      </c>
      <c r="C1817">
        <v>19</v>
      </c>
      <c r="D1817" s="3">
        <v>1.34</v>
      </c>
      <c r="E1817" s="3">
        <v>25.46</v>
      </c>
      <c r="F1817">
        <v>23</v>
      </c>
      <c r="G1817">
        <v>7</v>
      </c>
      <c r="H1817" s="4">
        <v>0.8</v>
      </c>
      <c r="I1817" t="s">
        <v>46</v>
      </c>
      <c r="J1817" t="s">
        <v>33</v>
      </c>
      <c r="K1817" t="s">
        <v>47</v>
      </c>
      <c r="L1817">
        <f t="shared" si="56"/>
        <v>2021</v>
      </c>
      <c r="M1817" t="str">
        <f t="shared" si="57"/>
        <v>COVID Period</v>
      </c>
    </row>
    <row r="1818" spans="1:13" x14ac:dyDescent="0.25">
      <c r="A1818" s="2">
        <v>44445</v>
      </c>
      <c r="B1818" t="s">
        <v>42</v>
      </c>
      <c r="C1818">
        <v>25</v>
      </c>
      <c r="D1818" s="3">
        <v>4.37</v>
      </c>
      <c r="E1818" s="3">
        <v>109.25</v>
      </c>
      <c r="F1818">
        <v>40</v>
      </c>
      <c r="G1818">
        <v>19</v>
      </c>
      <c r="H1818" s="4">
        <v>2</v>
      </c>
      <c r="I1818" t="s">
        <v>46</v>
      </c>
      <c r="J1818" t="s">
        <v>33</v>
      </c>
      <c r="K1818" t="s">
        <v>47</v>
      </c>
      <c r="L1818">
        <f t="shared" si="56"/>
        <v>2021</v>
      </c>
      <c r="M1818" t="str">
        <f t="shared" si="57"/>
        <v>COVID Period</v>
      </c>
    </row>
    <row r="1819" spans="1:13" x14ac:dyDescent="0.25">
      <c r="A1819" s="2">
        <v>44445</v>
      </c>
      <c r="B1819" t="s">
        <v>43</v>
      </c>
      <c r="C1819">
        <v>14</v>
      </c>
      <c r="D1819" s="3">
        <v>5.68</v>
      </c>
      <c r="E1819" s="3">
        <v>79.52</v>
      </c>
      <c r="F1819">
        <v>16</v>
      </c>
      <c r="G1819">
        <v>4</v>
      </c>
      <c r="H1819" s="4">
        <v>2</v>
      </c>
      <c r="I1819" t="s">
        <v>46</v>
      </c>
      <c r="J1819" t="s">
        <v>33</v>
      </c>
      <c r="L1819">
        <f t="shared" si="56"/>
        <v>2021</v>
      </c>
      <c r="M1819" t="str">
        <f t="shared" si="57"/>
        <v>COVID Period</v>
      </c>
    </row>
    <row r="1820" spans="1:13" x14ac:dyDescent="0.25">
      <c r="A1820" s="2">
        <v>44445</v>
      </c>
      <c r="B1820" t="s">
        <v>44</v>
      </c>
      <c r="C1820">
        <v>1</v>
      </c>
      <c r="D1820" s="3">
        <v>4.7699999999999996</v>
      </c>
      <c r="E1820" s="3">
        <v>4.7699999999999996</v>
      </c>
      <c r="F1820">
        <v>3</v>
      </c>
      <c r="G1820">
        <v>2</v>
      </c>
      <c r="H1820" s="4">
        <v>2.1</v>
      </c>
      <c r="I1820" t="s">
        <v>46</v>
      </c>
      <c r="J1820" t="s">
        <v>46</v>
      </c>
      <c r="K1820" t="s">
        <v>47</v>
      </c>
      <c r="L1820">
        <f t="shared" si="56"/>
        <v>2021</v>
      </c>
      <c r="M1820" t="str">
        <f t="shared" si="57"/>
        <v>COVID Period</v>
      </c>
    </row>
    <row r="1821" spans="1:13" x14ac:dyDescent="0.25">
      <c r="A1821" s="2">
        <v>44445</v>
      </c>
      <c r="B1821" t="s">
        <v>45</v>
      </c>
      <c r="C1821">
        <v>1</v>
      </c>
      <c r="D1821" s="3">
        <v>14.7</v>
      </c>
      <c r="E1821" s="3">
        <v>14.7</v>
      </c>
      <c r="F1821">
        <v>3</v>
      </c>
      <c r="G1821">
        <v>2</v>
      </c>
      <c r="H1821" s="4">
        <v>3.8</v>
      </c>
      <c r="I1821" t="s">
        <v>46</v>
      </c>
      <c r="J1821" t="s">
        <v>33</v>
      </c>
      <c r="L1821">
        <f t="shared" si="56"/>
        <v>2021</v>
      </c>
      <c r="M1821" t="str">
        <f t="shared" si="57"/>
        <v>COVID Period</v>
      </c>
    </row>
    <row r="1822" spans="1:13" x14ac:dyDescent="0.25">
      <c r="A1822" s="2">
        <v>44452</v>
      </c>
      <c r="B1822" t="s">
        <v>32</v>
      </c>
      <c r="C1822">
        <v>18</v>
      </c>
      <c r="D1822" s="3">
        <v>6.94</v>
      </c>
      <c r="E1822" s="3">
        <v>124.92</v>
      </c>
      <c r="F1822">
        <v>20</v>
      </c>
      <c r="G1822">
        <v>5</v>
      </c>
      <c r="H1822" s="4">
        <v>1.8</v>
      </c>
      <c r="I1822" t="s">
        <v>33</v>
      </c>
      <c r="J1822" t="s">
        <v>33</v>
      </c>
      <c r="L1822">
        <f t="shared" si="56"/>
        <v>2021</v>
      </c>
      <c r="M1822" t="str">
        <f t="shared" si="57"/>
        <v>COVID Period</v>
      </c>
    </row>
    <row r="1823" spans="1:13" x14ac:dyDescent="0.25">
      <c r="A1823" s="2">
        <v>44452</v>
      </c>
      <c r="B1823" t="s">
        <v>34</v>
      </c>
      <c r="C1823">
        <v>21</v>
      </c>
      <c r="D1823" s="3">
        <v>7.18</v>
      </c>
      <c r="E1823" s="3">
        <v>150.78</v>
      </c>
      <c r="F1823">
        <v>23</v>
      </c>
      <c r="G1823">
        <v>4</v>
      </c>
      <c r="H1823" s="4">
        <v>1.7</v>
      </c>
      <c r="I1823" t="s">
        <v>33</v>
      </c>
      <c r="J1823" t="s">
        <v>33</v>
      </c>
      <c r="L1823">
        <f t="shared" si="56"/>
        <v>2021</v>
      </c>
      <c r="M1823" t="str">
        <f t="shared" si="57"/>
        <v>COVID Period</v>
      </c>
    </row>
    <row r="1824" spans="1:13" x14ac:dyDescent="0.25">
      <c r="A1824" s="2">
        <v>44452</v>
      </c>
      <c r="B1824" t="s">
        <v>35</v>
      </c>
      <c r="C1824">
        <v>12</v>
      </c>
      <c r="D1824" s="3">
        <v>5.94</v>
      </c>
      <c r="E1824" s="3">
        <v>71.28</v>
      </c>
      <c r="F1824">
        <v>19</v>
      </c>
      <c r="G1824">
        <v>8</v>
      </c>
      <c r="H1824" s="4">
        <v>2.5</v>
      </c>
      <c r="I1824" t="s">
        <v>33</v>
      </c>
      <c r="J1824" t="s">
        <v>33</v>
      </c>
      <c r="L1824">
        <f t="shared" si="56"/>
        <v>2021</v>
      </c>
      <c r="M1824" t="str">
        <f t="shared" si="57"/>
        <v>COVID Period</v>
      </c>
    </row>
    <row r="1825" spans="1:13" x14ac:dyDescent="0.25">
      <c r="A1825" s="2">
        <v>44452</v>
      </c>
      <c r="B1825" t="s">
        <v>36</v>
      </c>
      <c r="C1825">
        <v>12</v>
      </c>
      <c r="D1825" s="3">
        <v>6.33</v>
      </c>
      <c r="E1825" s="3">
        <v>75.959999999999994</v>
      </c>
      <c r="F1825">
        <v>15</v>
      </c>
      <c r="G1825">
        <v>4</v>
      </c>
      <c r="H1825" s="4">
        <v>2.2999999999999998</v>
      </c>
      <c r="I1825" t="s">
        <v>33</v>
      </c>
      <c r="J1825" t="s">
        <v>33</v>
      </c>
      <c r="L1825">
        <f t="shared" si="56"/>
        <v>2021</v>
      </c>
      <c r="M1825" t="str">
        <f t="shared" si="57"/>
        <v>COVID Period</v>
      </c>
    </row>
    <row r="1826" spans="1:13" x14ac:dyDescent="0.25">
      <c r="A1826" s="2">
        <v>44452</v>
      </c>
      <c r="B1826" t="s">
        <v>37</v>
      </c>
      <c r="C1826">
        <v>27</v>
      </c>
      <c r="D1826" s="3">
        <v>3.29</v>
      </c>
      <c r="E1826" s="3">
        <v>88.83</v>
      </c>
      <c r="F1826">
        <v>30</v>
      </c>
      <c r="G1826">
        <v>6</v>
      </c>
      <c r="H1826" s="4">
        <v>0</v>
      </c>
      <c r="I1826" t="s">
        <v>33</v>
      </c>
      <c r="J1826" t="s">
        <v>33</v>
      </c>
      <c r="L1826">
        <f t="shared" si="56"/>
        <v>2021</v>
      </c>
      <c r="M1826" t="str">
        <f t="shared" si="57"/>
        <v>COVID Period</v>
      </c>
    </row>
    <row r="1827" spans="1:13" x14ac:dyDescent="0.25">
      <c r="A1827" s="2">
        <v>44452</v>
      </c>
      <c r="B1827" t="s">
        <v>38</v>
      </c>
      <c r="C1827">
        <v>17</v>
      </c>
      <c r="D1827" s="3">
        <v>8.7100000000000009</v>
      </c>
      <c r="E1827" s="3">
        <v>148.07</v>
      </c>
      <c r="F1827">
        <v>27</v>
      </c>
      <c r="G1827">
        <v>13</v>
      </c>
      <c r="H1827" s="4">
        <v>1.9</v>
      </c>
      <c r="I1827" t="s">
        <v>33</v>
      </c>
      <c r="J1827" t="s">
        <v>33</v>
      </c>
      <c r="L1827">
        <f t="shared" si="56"/>
        <v>2021</v>
      </c>
      <c r="M1827" t="str">
        <f t="shared" si="57"/>
        <v>COVID Period</v>
      </c>
    </row>
    <row r="1828" spans="1:13" x14ac:dyDescent="0.25">
      <c r="A1828" s="2">
        <v>44452</v>
      </c>
      <c r="B1828" t="s">
        <v>39</v>
      </c>
      <c r="C1828">
        <v>24</v>
      </c>
      <c r="D1828" s="3">
        <v>11.57</v>
      </c>
      <c r="E1828" s="3">
        <v>277.68</v>
      </c>
      <c r="F1828">
        <v>34</v>
      </c>
      <c r="G1828">
        <v>13</v>
      </c>
      <c r="H1828" s="4">
        <v>0.2</v>
      </c>
      <c r="I1828" t="s">
        <v>33</v>
      </c>
      <c r="J1828" t="s">
        <v>33</v>
      </c>
      <c r="L1828">
        <f t="shared" si="56"/>
        <v>2021</v>
      </c>
      <c r="M1828" t="str">
        <f t="shared" si="57"/>
        <v>COVID Period</v>
      </c>
    </row>
    <row r="1829" spans="1:13" x14ac:dyDescent="0.25">
      <c r="A1829" s="2">
        <v>44452</v>
      </c>
      <c r="B1829" t="s">
        <v>40</v>
      </c>
      <c r="C1829">
        <v>28</v>
      </c>
      <c r="D1829" s="3">
        <v>0.68</v>
      </c>
      <c r="E1829" s="3">
        <v>19.04</v>
      </c>
      <c r="F1829">
        <v>46</v>
      </c>
      <c r="G1829">
        <v>25</v>
      </c>
      <c r="H1829" s="4">
        <v>4</v>
      </c>
      <c r="I1829" t="s">
        <v>46</v>
      </c>
      <c r="J1829" t="s">
        <v>33</v>
      </c>
      <c r="K1829" t="s">
        <v>47</v>
      </c>
      <c r="L1829">
        <f t="shared" si="56"/>
        <v>2021</v>
      </c>
      <c r="M1829" t="str">
        <f t="shared" si="57"/>
        <v>COVID Period</v>
      </c>
    </row>
    <row r="1830" spans="1:13" x14ac:dyDescent="0.25">
      <c r="A1830" s="2">
        <v>44452</v>
      </c>
      <c r="B1830" t="s">
        <v>41</v>
      </c>
      <c r="C1830">
        <v>18</v>
      </c>
      <c r="D1830" s="3">
        <v>1.4</v>
      </c>
      <c r="E1830" s="3">
        <v>25.2</v>
      </c>
      <c r="F1830">
        <v>19</v>
      </c>
      <c r="G1830">
        <v>4</v>
      </c>
      <c r="H1830" s="4">
        <v>1.8</v>
      </c>
      <c r="I1830" t="s">
        <v>46</v>
      </c>
      <c r="J1830" t="s">
        <v>33</v>
      </c>
      <c r="K1830" t="s">
        <v>47</v>
      </c>
      <c r="L1830">
        <f t="shared" si="56"/>
        <v>2021</v>
      </c>
      <c r="M1830" t="str">
        <f t="shared" si="57"/>
        <v>COVID Period</v>
      </c>
    </row>
    <row r="1831" spans="1:13" x14ac:dyDescent="0.25">
      <c r="A1831" s="2">
        <v>44452</v>
      </c>
      <c r="B1831" t="s">
        <v>42</v>
      </c>
      <c r="C1831">
        <v>20</v>
      </c>
      <c r="D1831" s="3">
        <v>4.25</v>
      </c>
      <c r="E1831" s="3">
        <v>85</v>
      </c>
      <c r="F1831">
        <v>33</v>
      </c>
      <c r="G1831">
        <v>18</v>
      </c>
      <c r="H1831" s="4">
        <v>3.9</v>
      </c>
      <c r="I1831" t="s">
        <v>46</v>
      </c>
      <c r="J1831" t="s">
        <v>33</v>
      </c>
      <c r="K1831" t="s">
        <v>47</v>
      </c>
      <c r="L1831">
        <f t="shared" si="56"/>
        <v>2021</v>
      </c>
      <c r="M1831" t="str">
        <f t="shared" si="57"/>
        <v>COVID Period</v>
      </c>
    </row>
    <row r="1832" spans="1:13" x14ac:dyDescent="0.25">
      <c r="A1832" s="2">
        <v>44452</v>
      </c>
      <c r="B1832" t="s">
        <v>43</v>
      </c>
      <c r="C1832">
        <v>13</v>
      </c>
      <c r="D1832" s="3">
        <v>5.6</v>
      </c>
      <c r="E1832" s="3">
        <v>72.8</v>
      </c>
      <c r="F1832">
        <v>17</v>
      </c>
      <c r="G1832">
        <v>7</v>
      </c>
      <c r="H1832" s="4">
        <v>2.2000000000000002</v>
      </c>
      <c r="I1832" t="s">
        <v>46</v>
      </c>
      <c r="J1832" t="s">
        <v>33</v>
      </c>
      <c r="L1832">
        <f t="shared" si="56"/>
        <v>2021</v>
      </c>
      <c r="M1832" t="str">
        <f t="shared" si="57"/>
        <v>COVID Period</v>
      </c>
    </row>
    <row r="1833" spans="1:13" x14ac:dyDescent="0.25">
      <c r="A1833" s="2">
        <v>44452</v>
      </c>
      <c r="B1833" t="s">
        <v>44</v>
      </c>
      <c r="C1833">
        <v>0</v>
      </c>
      <c r="D1833" s="3">
        <v>4.7300000000000004</v>
      </c>
      <c r="E1833" s="3">
        <v>0</v>
      </c>
      <c r="F1833">
        <v>3</v>
      </c>
      <c r="G1833">
        <v>4</v>
      </c>
      <c r="H1833" s="4">
        <v>3.7</v>
      </c>
      <c r="I1833" t="s">
        <v>46</v>
      </c>
      <c r="J1833" t="s">
        <v>33</v>
      </c>
      <c r="K1833" t="s">
        <v>47</v>
      </c>
      <c r="L1833">
        <f t="shared" si="56"/>
        <v>2021</v>
      </c>
      <c r="M1833" t="str">
        <f t="shared" si="57"/>
        <v>COVID Period</v>
      </c>
    </row>
    <row r="1834" spans="1:13" x14ac:dyDescent="0.25">
      <c r="A1834" s="2">
        <v>44452</v>
      </c>
      <c r="B1834" t="s">
        <v>45</v>
      </c>
      <c r="C1834">
        <v>0</v>
      </c>
      <c r="D1834" s="3">
        <v>14.68</v>
      </c>
      <c r="E1834" s="3">
        <v>0</v>
      </c>
      <c r="F1834">
        <v>3</v>
      </c>
      <c r="G1834">
        <v>3</v>
      </c>
      <c r="H1834" s="4">
        <v>2.4</v>
      </c>
      <c r="I1834" t="s">
        <v>46</v>
      </c>
      <c r="J1834" t="s">
        <v>33</v>
      </c>
      <c r="L1834">
        <f t="shared" si="56"/>
        <v>2021</v>
      </c>
      <c r="M1834" t="str">
        <f t="shared" si="57"/>
        <v>COVID Period</v>
      </c>
    </row>
    <row r="1835" spans="1:13" x14ac:dyDescent="0.25">
      <c r="A1835" s="2">
        <v>44459</v>
      </c>
      <c r="B1835" t="s">
        <v>32</v>
      </c>
      <c r="C1835">
        <v>21</v>
      </c>
      <c r="D1835" s="3">
        <v>6.89</v>
      </c>
      <c r="E1835" s="3">
        <v>144.69</v>
      </c>
      <c r="F1835">
        <v>22</v>
      </c>
      <c r="G1835">
        <v>4</v>
      </c>
      <c r="H1835" s="4">
        <v>1.8</v>
      </c>
      <c r="I1835" t="s">
        <v>33</v>
      </c>
      <c r="J1835" t="s">
        <v>33</v>
      </c>
      <c r="L1835">
        <f t="shared" si="56"/>
        <v>2021</v>
      </c>
      <c r="M1835" t="str">
        <f t="shared" si="57"/>
        <v>COVID Period</v>
      </c>
    </row>
    <row r="1836" spans="1:13" x14ac:dyDescent="0.25">
      <c r="A1836" s="2">
        <v>44459</v>
      </c>
      <c r="B1836" t="s">
        <v>34</v>
      </c>
      <c r="C1836">
        <v>21</v>
      </c>
      <c r="D1836" s="3">
        <v>7.27</v>
      </c>
      <c r="E1836" s="3">
        <v>152.66999999999999</v>
      </c>
      <c r="F1836">
        <v>33</v>
      </c>
      <c r="G1836">
        <v>12</v>
      </c>
      <c r="H1836" s="4">
        <v>1.2</v>
      </c>
      <c r="I1836" t="s">
        <v>33</v>
      </c>
      <c r="J1836" t="s">
        <v>33</v>
      </c>
      <c r="L1836">
        <f t="shared" si="56"/>
        <v>2021</v>
      </c>
      <c r="M1836" t="str">
        <f t="shared" si="57"/>
        <v>COVID Period</v>
      </c>
    </row>
    <row r="1837" spans="1:13" x14ac:dyDescent="0.25">
      <c r="A1837" s="2">
        <v>44459</v>
      </c>
      <c r="B1837" t="s">
        <v>35</v>
      </c>
      <c r="C1837">
        <v>6</v>
      </c>
      <c r="D1837" s="3">
        <v>6.02</v>
      </c>
      <c r="E1837" s="3">
        <v>36.119999999999997</v>
      </c>
      <c r="F1837">
        <v>6</v>
      </c>
      <c r="G1837">
        <v>1</v>
      </c>
      <c r="H1837" s="4">
        <v>0.9</v>
      </c>
      <c r="I1837" t="s">
        <v>33</v>
      </c>
      <c r="J1837" t="s">
        <v>46</v>
      </c>
      <c r="L1837">
        <f t="shared" si="56"/>
        <v>2021</v>
      </c>
      <c r="M1837" t="str">
        <f t="shared" si="57"/>
        <v>COVID Period</v>
      </c>
    </row>
    <row r="1838" spans="1:13" x14ac:dyDescent="0.25">
      <c r="A1838" s="2">
        <v>44459</v>
      </c>
      <c r="B1838" t="s">
        <v>36</v>
      </c>
      <c r="C1838">
        <v>12</v>
      </c>
      <c r="D1838" s="3">
        <v>6.5</v>
      </c>
      <c r="E1838" s="3">
        <v>78</v>
      </c>
      <c r="F1838">
        <v>16</v>
      </c>
      <c r="G1838">
        <v>6</v>
      </c>
      <c r="H1838" s="4">
        <v>2.2999999999999998</v>
      </c>
      <c r="I1838" t="s">
        <v>33</v>
      </c>
      <c r="J1838" t="s">
        <v>33</v>
      </c>
      <c r="L1838">
        <f t="shared" si="56"/>
        <v>2021</v>
      </c>
      <c r="M1838" t="str">
        <f t="shared" si="57"/>
        <v>COVID Period</v>
      </c>
    </row>
    <row r="1839" spans="1:13" x14ac:dyDescent="0.25">
      <c r="A1839" s="2">
        <v>44459</v>
      </c>
      <c r="B1839" t="s">
        <v>37</v>
      </c>
      <c r="C1839">
        <v>28</v>
      </c>
      <c r="D1839" s="3">
        <v>3.15</v>
      </c>
      <c r="E1839" s="3">
        <v>88.2</v>
      </c>
      <c r="F1839">
        <v>34</v>
      </c>
      <c r="G1839">
        <v>9</v>
      </c>
      <c r="H1839" s="4">
        <v>1.7</v>
      </c>
      <c r="I1839" t="s">
        <v>33</v>
      </c>
      <c r="J1839" t="s">
        <v>33</v>
      </c>
      <c r="L1839">
        <f t="shared" si="56"/>
        <v>2021</v>
      </c>
      <c r="M1839" t="str">
        <f t="shared" si="57"/>
        <v>COVID Period</v>
      </c>
    </row>
    <row r="1840" spans="1:13" x14ac:dyDescent="0.25">
      <c r="A1840" s="2">
        <v>44459</v>
      </c>
      <c r="B1840" t="s">
        <v>38</v>
      </c>
      <c r="C1840">
        <v>12</v>
      </c>
      <c r="D1840" s="3">
        <v>8.17</v>
      </c>
      <c r="E1840" s="3">
        <v>98.04</v>
      </c>
      <c r="F1840">
        <v>19</v>
      </c>
      <c r="G1840">
        <v>9</v>
      </c>
      <c r="H1840" s="4">
        <v>1.2</v>
      </c>
      <c r="I1840" t="s">
        <v>33</v>
      </c>
      <c r="J1840" t="s">
        <v>33</v>
      </c>
      <c r="L1840">
        <f t="shared" si="56"/>
        <v>2021</v>
      </c>
      <c r="M1840" t="str">
        <f t="shared" si="57"/>
        <v>COVID Period</v>
      </c>
    </row>
    <row r="1841" spans="1:13" x14ac:dyDescent="0.25">
      <c r="A1841" s="2">
        <v>44459</v>
      </c>
      <c r="B1841" t="s">
        <v>39</v>
      </c>
      <c r="C1841">
        <v>40</v>
      </c>
      <c r="D1841" s="3">
        <v>11.07</v>
      </c>
      <c r="E1841" s="3">
        <v>442.8</v>
      </c>
      <c r="F1841">
        <v>64</v>
      </c>
      <c r="G1841">
        <v>35</v>
      </c>
      <c r="H1841" s="4">
        <v>2</v>
      </c>
      <c r="I1841" t="s">
        <v>46</v>
      </c>
      <c r="J1841" t="s">
        <v>33</v>
      </c>
      <c r="K1841" t="s">
        <v>48</v>
      </c>
      <c r="L1841">
        <f t="shared" si="56"/>
        <v>2021</v>
      </c>
      <c r="M1841" t="str">
        <f t="shared" si="57"/>
        <v>COVID Period</v>
      </c>
    </row>
    <row r="1842" spans="1:13" x14ac:dyDescent="0.25">
      <c r="A1842" s="2">
        <v>44459</v>
      </c>
      <c r="B1842" t="s">
        <v>40</v>
      </c>
      <c r="C1842">
        <v>27</v>
      </c>
      <c r="D1842" s="3">
        <v>0.65</v>
      </c>
      <c r="E1842" s="3">
        <v>17.55</v>
      </c>
      <c r="F1842">
        <v>33</v>
      </c>
      <c r="G1842">
        <v>11</v>
      </c>
      <c r="H1842" s="4">
        <v>3.5</v>
      </c>
      <c r="I1842" t="s">
        <v>46</v>
      </c>
      <c r="J1842" t="s">
        <v>33</v>
      </c>
      <c r="K1842" t="s">
        <v>47</v>
      </c>
      <c r="L1842">
        <f t="shared" si="56"/>
        <v>2021</v>
      </c>
      <c r="M1842" t="str">
        <f t="shared" si="57"/>
        <v>COVID Period</v>
      </c>
    </row>
    <row r="1843" spans="1:13" x14ac:dyDescent="0.25">
      <c r="A1843" s="2">
        <v>44459</v>
      </c>
      <c r="B1843" t="s">
        <v>41</v>
      </c>
      <c r="C1843">
        <v>20</v>
      </c>
      <c r="D1843" s="3">
        <v>1.32</v>
      </c>
      <c r="E1843" s="3">
        <v>26.4</v>
      </c>
      <c r="F1843">
        <v>32</v>
      </c>
      <c r="G1843">
        <v>18</v>
      </c>
      <c r="H1843" s="4">
        <v>4.5999999999999996</v>
      </c>
      <c r="I1843" t="s">
        <v>46</v>
      </c>
      <c r="J1843" t="s">
        <v>33</v>
      </c>
      <c r="K1843" t="s">
        <v>47</v>
      </c>
      <c r="L1843">
        <f t="shared" si="56"/>
        <v>2021</v>
      </c>
      <c r="M1843" t="str">
        <f t="shared" si="57"/>
        <v>COVID Period</v>
      </c>
    </row>
    <row r="1844" spans="1:13" x14ac:dyDescent="0.25">
      <c r="A1844" s="2">
        <v>44459</v>
      </c>
      <c r="B1844" t="s">
        <v>42</v>
      </c>
      <c r="C1844">
        <v>16</v>
      </c>
      <c r="D1844" s="3">
        <v>4.24</v>
      </c>
      <c r="E1844" s="3">
        <v>67.84</v>
      </c>
      <c r="F1844">
        <v>21</v>
      </c>
      <c r="G1844">
        <v>8</v>
      </c>
      <c r="H1844" s="4">
        <v>2.2000000000000002</v>
      </c>
      <c r="I1844" t="s">
        <v>46</v>
      </c>
      <c r="J1844" t="s">
        <v>33</v>
      </c>
      <c r="K1844" t="s">
        <v>47</v>
      </c>
      <c r="L1844">
        <f t="shared" si="56"/>
        <v>2021</v>
      </c>
      <c r="M1844" t="str">
        <f t="shared" si="57"/>
        <v>COVID Period</v>
      </c>
    </row>
    <row r="1845" spans="1:13" x14ac:dyDescent="0.25">
      <c r="A1845" s="2">
        <v>44459</v>
      </c>
      <c r="B1845" t="s">
        <v>43</v>
      </c>
      <c r="C1845">
        <v>14</v>
      </c>
      <c r="D1845" s="3">
        <v>5.32</v>
      </c>
      <c r="E1845" s="3">
        <v>74.48</v>
      </c>
      <c r="F1845">
        <v>20</v>
      </c>
      <c r="G1845">
        <v>7</v>
      </c>
      <c r="H1845" s="4">
        <v>2.8</v>
      </c>
      <c r="I1845" t="s">
        <v>46</v>
      </c>
      <c r="J1845" t="s">
        <v>33</v>
      </c>
      <c r="L1845">
        <f t="shared" si="56"/>
        <v>2021</v>
      </c>
      <c r="M1845" t="str">
        <f t="shared" si="57"/>
        <v>COVID Period</v>
      </c>
    </row>
    <row r="1846" spans="1:13" x14ac:dyDescent="0.25">
      <c r="A1846" s="2">
        <v>44459</v>
      </c>
      <c r="B1846" t="s">
        <v>44</v>
      </c>
      <c r="C1846">
        <v>0</v>
      </c>
      <c r="D1846" s="3">
        <v>4.88</v>
      </c>
      <c r="E1846" s="3">
        <v>0</v>
      </c>
      <c r="F1846">
        <v>3</v>
      </c>
      <c r="G1846">
        <v>3</v>
      </c>
      <c r="H1846" s="4">
        <v>3.6</v>
      </c>
      <c r="I1846" t="s">
        <v>46</v>
      </c>
      <c r="J1846" t="s">
        <v>33</v>
      </c>
      <c r="K1846" t="s">
        <v>47</v>
      </c>
      <c r="L1846">
        <f t="shared" si="56"/>
        <v>2021</v>
      </c>
      <c r="M1846" t="str">
        <f t="shared" si="57"/>
        <v>COVID Period</v>
      </c>
    </row>
    <row r="1847" spans="1:13" x14ac:dyDescent="0.25">
      <c r="A1847" s="2">
        <v>44459</v>
      </c>
      <c r="B1847" t="s">
        <v>45</v>
      </c>
      <c r="C1847">
        <v>1</v>
      </c>
      <c r="D1847" s="3">
        <v>14.91</v>
      </c>
      <c r="E1847" s="3">
        <v>14.91</v>
      </c>
      <c r="F1847">
        <v>3</v>
      </c>
      <c r="G1847">
        <v>2</v>
      </c>
      <c r="H1847" s="4">
        <v>3.4</v>
      </c>
      <c r="I1847" t="s">
        <v>46</v>
      </c>
      <c r="J1847" t="s">
        <v>33</v>
      </c>
      <c r="L1847">
        <f t="shared" si="56"/>
        <v>2021</v>
      </c>
      <c r="M1847" t="str">
        <f t="shared" si="57"/>
        <v>COVID Period</v>
      </c>
    </row>
    <row r="1848" spans="1:13" x14ac:dyDescent="0.25">
      <c r="A1848" s="2">
        <v>44466</v>
      </c>
      <c r="B1848" t="s">
        <v>32</v>
      </c>
      <c r="C1848">
        <v>16</v>
      </c>
      <c r="D1848" s="3">
        <v>6.54</v>
      </c>
      <c r="E1848" s="3">
        <v>104.64</v>
      </c>
      <c r="F1848">
        <v>17</v>
      </c>
      <c r="G1848">
        <v>4</v>
      </c>
      <c r="H1848" s="4">
        <v>2.4</v>
      </c>
      <c r="I1848" t="s">
        <v>33</v>
      </c>
      <c r="J1848" t="s">
        <v>33</v>
      </c>
      <c r="L1848">
        <f t="shared" si="56"/>
        <v>2021</v>
      </c>
      <c r="M1848" t="str">
        <f t="shared" si="57"/>
        <v>COVID Period</v>
      </c>
    </row>
    <row r="1849" spans="1:13" x14ac:dyDescent="0.25">
      <c r="A1849" s="2">
        <v>44466</v>
      </c>
      <c r="B1849" t="s">
        <v>34</v>
      </c>
      <c r="C1849">
        <v>18</v>
      </c>
      <c r="D1849" s="3">
        <v>7.15</v>
      </c>
      <c r="E1849" s="3">
        <v>128.69999999999999</v>
      </c>
      <c r="F1849">
        <v>23</v>
      </c>
      <c r="G1849">
        <v>7</v>
      </c>
      <c r="H1849" s="4">
        <v>1.4</v>
      </c>
      <c r="I1849" t="s">
        <v>33</v>
      </c>
      <c r="J1849" t="s">
        <v>33</v>
      </c>
      <c r="L1849">
        <f t="shared" si="56"/>
        <v>2021</v>
      </c>
      <c r="M1849" t="str">
        <f t="shared" si="57"/>
        <v>COVID Period</v>
      </c>
    </row>
    <row r="1850" spans="1:13" x14ac:dyDescent="0.25">
      <c r="A1850" s="2">
        <v>44466</v>
      </c>
      <c r="B1850" t="s">
        <v>35</v>
      </c>
      <c r="C1850">
        <v>11</v>
      </c>
      <c r="D1850" s="3">
        <v>6.01</v>
      </c>
      <c r="E1850" s="3">
        <v>66.11</v>
      </c>
      <c r="F1850">
        <v>16</v>
      </c>
      <c r="G1850">
        <v>7</v>
      </c>
      <c r="H1850" s="4">
        <v>1</v>
      </c>
      <c r="I1850" t="s">
        <v>33</v>
      </c>
      <c r="J1850" t="s">
        <v>33</v>
      </c>
      <c r="L1850">
        <f t="shared" si="56"/>
        <v>2021</v>
      </c>
      <c r="M1850" t="str">
        <f t="shared" si="57"/>
        <v>COVID Period</v>
      </c>
    </row>
    <row r="1851" spans="1:13" x14ac:dyDescent="0.25">
      <c r="A1851" s="2">
        <v>44466</v>
      </c>
      <c r="B1851" t="s">
        <v>36</v>
      </c>
      <c r="C1851">
        <v>8</v>
      </c>
      <c r="D1851" s="3">
        <v>6.51</v>
      </c>
      <c r="E1851" s="3">
        <v>52.08</v>
      </c>
      <c r="F1851">
        <v>10</v>
      </c>
      <c r="G1851">
        <v>3</v>
      </c>
      <c r="H1851" s="4">
        <v>1.8</v>
      </c>
      <c r="I1851" t="s">
        <v>33</v>
      </c>
      <c r="J1851" t="s">
        <v>33</v>
      </c>
      <c r="L1851">
        <f t="shared" si="56"/>
        <v>2021</v>
      </c>
      <c r="M1851" t="str">
        <f t="shared" si="57"/>
        <v>COVID Period</v>
      </c>
    </row>
    <row r="1852" spans="1:13" x14ac:dyDescent="0.25">
      <c r="A1852" s="2">
        <v>44466</v>
      </c>
      <c r="B1852" t="s">
        <v>37</v>
      </c>
      <c r="C1852">
        <v>29</v>
      </c>
      <c r="D1852" s="3">
        <v>3.18</v>
      </c>
      <c r="E1852" s="3">
        <v>92.22</v>
      </c>
      <c r="F1852">
        <v>37</v>
      </c>
      <c r="G1852">
        <v>13</v>
      </c>
      <c r="H1852" s="4">
        <v>2.6</v>
      </c>
      <c r="I1852" t="s">
        <v>33</v>
      </c>
      <c r="J1852" t="s">
        <v>33</v>
      </c>
      <c r="L1852">
        <f t="shared" si="56"/>
        <v>2021</v>
      </c>
      <c r="M1852" t="str">
        <f t="shared" si="57"/>
        <v>COVID Period</v>
      </c>
    </row>
    <row r="1853" spans="1:13" x14ac:dyDescent="0.25">
      <c r="A1853" s="2">
        <v>44466</v>
      </c>
      <c r="B1853" t="s">
        <v>38</v>
      </c>
      <c r="C1853">
        <v>12</v>
      </c>
      <c r="D1853" s="3">
        <v>8.2200000000000006</v>
      </c>
      <c r="E1853" s="3">
        <v>98.64</v>
      </c>
      <c r="F1853">
        <v>14</v>
      </c>
      <c r="G1853">
        <v>4</v>
      </c>
      <c r="H1853" s="4">
        <v>2.4</v>
      </c>
      <c r="I1853" t="s">
        <v>33</v>
      </c>
      <c r="J1853" t="s">
        <v>33</v>
      </c>
      <c r="L1853">
        <f t="shared" si="56"/>
        <v>2021</v>
      </c>
      <c r="M1853" t="str">
        <f t="shared" si="57"/>
        <v>COVID Period</v>
      </c>
    </row>
    <row r="1854" spans="1:13" x14ac:dyDescent="0.25">
      <c r="A1854" s="2">
        <v>44466</v>
      </c>
      <c r="B1854" t="s">
        <v>39</v>
      </c>
      <c r="C1854">
        <v>18</v>
      </c>
      <c r="D1854" s="3">
        <v>12.06</v>
      </c>
      <c r="E1854" s="3">
        <v>217.08</v>
      </c>
      <c r="F1854">
        <v>25</v>
      </c>
      <c r="G1854">
        <v>8</v>
      </c>
      <c r="H1854" s="4">
        <v>1.4</v>
      </c>
      <c r="I1854" t="s">
        <v>33</v>
      </c>
      <c r="J1854" t="s">
        <v>33</v>
      </c>
      <c r="L1854">
        <f t="shared" si="56"/>
        <v>2021</v>
      </c>
      <c r="M1854" t="str">
        <f t="shared" si="57"/>
        <v>COVID Period</v>
      </c>
    </row>
    <row r="1855" spans="1:13" x14ac:dyDescent="0.25">
      <c r="A1855" s="2">
        <v>44466</v>
      </c>
      <c r="B1855" t="s">
        <v>40</v>
      </c>
      <c r="C1855">
        <v>28</v>
      </c>
      <c r="D1855" s="3">
        <v>0.68</v>
      </c>
      <c r="E1855" s="3">
        <v>19.04</v>
      </c>
      <c r="F1855">
        <v>42</v>
      </c>
      <c r="G1855">
        <v>16</v>
      </c>
      <c r="H1855" s="4">
        <v>2.8</v>
      </c>
      <c r="I1855" t="s">
        <v>46</v>
      </c>
      <c r="J1855" t="s">
        <v>33</v>
      </c>
      <c r="K1855" t="s">
        <v>47</v>
      </c>
      <c r="L1855">
        <f t="shared" si="56"/>
        <v>2021</v>
      </c>
      <c r="M1855" t="str">
        <f t="shared" si="57"/>
        <v>COVID Period</v>
      </c>
    </row>
    <row r="1856" spans="1:13" x14ac:dyDescent="0.25">
      <c r="A1856" s="2">
        <v>44466</v>
      </c>
      <c r="B1856" t="s">
        <v>41</v>
      </c>
      <c r="C1856">
        <v>21</v>
      </c>
      <c r="D1856" s="3">
        <v>1.35</v>
      </c>
      <c r="E1856" s="3">
        <v>28.35</v>
      </c>
      <c r="F1856">
        <v>22</v>
      </c>
      <c r="G1856">
        <v>2</v>
      </c>
      <c r="H1856" s="4">
        <v>3.9</v>
      </c>
      <c r="I1856" t="s">
        <v>46</v>
      </c>
      <c r="J1856" t="s">
        <v>33</v>
      </c>
      <c r="K1856" t="s">
        <v>47</v>
      </c>
      <c r="L1856">
        <f t="shared" si="56"/>
        <v>2021</v>
      </c>
      <c r="M1856" t="str">
        <f t="shared" si="57"/>
        <v>COVID Period</v>
      </c>
    </row>
    <row r="1857" spans="1:13" x14ac:dyDescent="0.25">
      <c r="A1857" s="2">
        <v>44466</v>
      </c>
      <c r="B1857" t="s">
        <v>42</v>
      </c>
      <c r="C1857">
        <v>26</v>
      </c>
      <c r="D1857" s="3">
        <v>4.08</v>
      </c>
      <c r="E1857" s="3">
        <v>106.08</v>
      </c>
      <c r="F1857">
        <v>40</v>
      </c>
      <c r="G1857">
        <v>17</v>
      </c>
      <c r="H1857" s="4">
        <v>0.6</v>
      </c>
      <c r="I1857" t="s">
        <v>46</v>
      </c>
      <c r="J1857" t="s">
        <v>33</v>
      </c>
      <c r="K1857" t="s">
        <v>47</v>
      </c>
      <c r="L1857">
        <f t="shared" si="56"/>
        <v>2021</v>
      </c>
      <c r="M1857" t="str">
        <f t="shared" si="57"/>
        <v>COVID Period</v>
      </c>
    </row>
    <row r="1858" spans="1:13" x14ac:dyDescent="0.25">
      <c r="A1858" s="2">
        <v>44466</v>
      </c>
      <c r="B1858" t="s">
        <v>43</v>
      </c>
      <c r="C1858">
        <v>12</v>
      </c>
      <c r="D1858" s="3">
        <v>5.54</v>
      </c>
      <c r="E1858" s="3">
        <v>66.48</v>
      </c>
      <c r="F1858">
        <v>19</v>
      </c>
      <c r="G1858">
        <v>8</v>
      </c>
      <c r="H1858" s="4">
        <v>2.9</v>
      </c>
      <c r="I1858" t="s">
        <v>46</v>
      </c>
      <c r="J1858" t="s">
        <v>33</v>
      </c>
      <c r="L1858">
        <f t="shared" ref="L1858:L1921" si="58">YEAR(A1858)</f>
        <v>2021</v>
      </c>
      <c r="M1858" t="str">
        <f t="shared" ref="M1858:M1921" si="59">IF(L1858=2019,"Pre-COVID","COVID Period")</f>
        <v>COVID Period</v>
      </c>
    </row>
    <row r="1859" spans="1:13" x14ac:dyDescent="0.25">
      <c r="A1859" s="2">
        <v>44466</v>
      </c>
      <c r="B1859" t="s">
        <v>44</v>
      </c>
      <c r="C1859">
        <v>0</v>
      </c>
      <c r="D1859" s="3">
        <v>4.6500000000000004</v>
      </c>
      <c r="E1859" s="3">
        <v>0</v>
      </c>
      <c r="F1859">
        <v>3</v>
      </c>
      <c r="G1859">
        <v>3</v>
      </c>
      <c r="H1859" s="4">
        <v>1.8</v>
      </c>
      <c r="I1859" t="s">
        <v>46</v>
      </c>
      <c r="J1859" t="s">
        <v>33</v>
      </c>
      <c r="K1859" t="s">
        <v>47</v>
      </c>
      <c r="L1859">
        <f t="shared" si="58"/>
        <v>2021</v>
      </c>
      <c r="M1859" t="str">
        <f t="shared" si="59"/>
        <v>COVID Period</v>
      </c>
    </row>
    <row r="1860" spans="1:13" x14ac:dyDescent="0.25">
      <c r="A1860" s="2">
        <v>44466</v>
      </c>
      <c r="B1860" t="s">
        <v>45</v>
      </c>
      <c r="C1860">
        <v>1</v>
      </c>
      <c r="D1860" s="3">
        <v>14.87</v>
      </c>
      <c r="E1860" s="3">
        <v>14.87</v>
      </c>
      <c r="F1860">
        <v>3</v>
      </c>
      <c r="G1860">
        <v>2</v>
      </c>
      <c r="H1860" s="4">
        <v>2.2999999999999998</v>
      </c>
      <c r="I1860" t="s">
        <v>46</v>
      </c>
      <c r="J1860" t="s">
        <v>33</v>
      </c>
      <c r="L1860">
        <f t="shared" si="58"/>
        <v>2021</v>
      </c>
      <c r="M1860" t="str">
        <f t="shared" si="59"/>
        <v>COVID Period</v>
      </c>
    </row>
    <row r="1861" spans="1:13" x14ac:dyDescent="0.25">
      <c r="A1861" s="2">
        <v>44473</v>
      </c>
      <c r="B1861" t="s">
        <v>32</v>
      </c>
      <c r="C1861">
        <v>19</v>
      </c>
      <c r="D1861" s="3">
        <v>6.72</v>
      </c>
      <c r="E1861" s="3">
        <v>127.68</v>
      </c>
      <c r="F1861">
        <v>21</v>
      </c>
      <c r="G1861">
        <v>5</v>
      </c>
      <c r="H1861" s="4">
        <v>2.4</v>
      </c>
      <c r="I1861" t="s">
        <v>33</v>
      </c>
      <c r="J1861" t="s">
        <v>33</v>
      </c>
      <c r="L1861">
        <f t="shared" si="58"/>
        <v>2021</v>
      </c>
      <c r="M1861" t="str">
        <f t="shared" si="59"/>
        <v>COVID Period</v>
      </c>
    </row>
    <row r="1862" spans="1:13" x14ac:dyDescent="0.25">
      <c r="A1862" s="2">
        <v>44473</v>
      </c>
      <c r="B1862" t="s">
        <v>34</v>
      </c>
      <c r="C1862">
        <v>16</v>
      </c>
      <c r="D1862" s="3">
        <v>6.87</v>
      </c>
      <c r="E1862" s="3">
        <v>109.92</v>
      </c>
      <c r="F1862">
        <v>19</v>
      </c>
      <c r="G1862">
        <v>6</v>
      </c>
      <c r="H1862" s="4">
        <v>1.4</v>
      </c>
      <c r="I1862" t="s">
        <v>33</v>
      </c>
      <c r="J1862" t="s">
        <v>33</v>
      </c>
      <c r="L1862">
        <f t="shared" si="58"/>
        <v>2021</v>
      </c>
      <c r="M1862" t="str">
        <f t="shared" si="59"/>
        <v>COVID Period</v>
      </c>
    </row>
    <row r="1863" spans="1:13" x14ac:dyDescent="0.25">
      <c r="A1863" s="2">
        <v>44473</v>
      </c>
      <c r="B1863" t="s">
        <v>35</v>
      </c>
      <c r="C1863">
        <v>13</v>
      </c>
      <c r="D1863" s="3">
        <v>6.04</v>
      </c>
      <c r="E1863" s="3">
        <v>78.52</v>
      </c>
      <c r="F1863">
        <v>14</v>
      </c>
      <c r="G1863">
        <v>1</v>
      </c>
      <c r="H1863" s="4">
        <v>2.1</v>
      </c>
      <c r="I1863" t="s">
        <v>33</v>
      </c>
      <c r="J1863" t="s">
        <v>33</v>
      </c>
      <c r="L1863">
        <f t="shared" si="58"/>
        <v>2021</v>
      </c>
      <c r="M1863" t="str">
        <f t="shared" si="59"/>
        <v>COVID Period</v>
      </c>
    </row>
    <row r="1864" spans="1:13" x14ac:dyDescent="0.25">
      <c r="A1864" s="2">
        <v>44473</v>
      </c>
      <c r="B1864" t="s">
        <v>36</v>
      </c>
      <c r="C1864">
        <v>9</v>
      </c>
      <c r="D1864" s="3">
        <v>6.45</v>
      </c>
      <c r="E1864" s="3">
        <v>58.05</v>
      </c>
      <c r="F1864">
        <v>12</v>
      </c>
      <c r="G1864">
        <v>5</v>
      </c>
      <c r="H1864" s="4">
        <v>0.3</v>
      </c>
      <c r="I1864" t="s">
        <v>33</v>
      </c>
      <c r="J1864" t="s">
        <v>33</v>
      </c>
      <c r="L1864">
        <f t="shared" si="58"/>
        <v>2021</v>
      </c>
      <c r="M1864" t="str">
        <f t="shared" si="59"/>
        <v>COVID Period</v>
      </c>
    </row>
    <row r="1865" spans="1:13" x14ac:dyDescent="0.25">
      <c r="A1865" s="2">
        <v>44473</v>
      </c>
      <c r="B1865" t="s">
        <v>37</v>
      </c>
      <c r="C1865">
        <v>35</v>
      </c>
      <c r="D1865" s="3">
        <v>3.23</v>
      </c>
      <c r="E1865" s="3">
        <v>113.05</v>
      </c>
      <c r="F1865">
        <v>50</v>
      </c>
      <c r="G1865">
        <v>19</v>
      </c>
      <c r="H1865" s="4">
        <v>0.8</v>
      </c>
      <c r="I1865" t="s">
        <v>33</v>
      </c>
      <c r="J1865" t="s">
        <v>33</v>
      </c>
      <c r="L1865">
        <f t="shared" si="58"/>
        <v>2021</v>
      </c>
      <c r="M1865" t="str">
        <f t="shared" si="59"/>
        <v>COVID Period</v>
      </c>
    </row>
    <row r="1866" spans="1:13" x14ac:dyDescent="0.25">
      <c r="A1866" s="2">
        <v>44473</v>
      </c>
      <c r="B1866" t="s">
        <v>38</v>
      </c>
      <c r="C1866">
        <v>17</v>
      </c>
      <c r="D1866" s="3">
        <v>8.5</v>
      </c>
      <c r="E1866" s="3">
        <v>144.5</v>
      </c>
      <c r="F1866">
        <v>25</v>
      </c>
      <c r="G1866">
        <v>10</v>
      </c>
      <c r="H1866" s="4">
        <v>1.3</v>
      </c>
      <c r="I1866" t="s">
        <v>33</v>
      </c>
      <c r="J1866" t="s">
        <v>33</v>
      </c>
      <c r="L1866">
        <f t="shared" si="58"/>
        <v>2021</v>
      </c>
      <c r="M1866" t="str">
        <f t="shared" si="59"/>
        <v>COVID Period</v>
      </c>
    </row>
    <row r="1867" spans="1:13" x14ac:dyDescent="0.25">
      <c r="A1867" s="2">
        <v>44473</v>
      </c>
      <c r="B1867" t="s">
        <v>39</v>
      </c>
      <c r="C1867">
        <v>19</v>
      </c>
      <c r="D1867" s="3">
        <v>11.97</v>
      </c>
      <c r="E1867" s="3">
        <v>227.43</v>
      </c>
      <c r="F1867">
        <v>21</v>
      </c>
      <c r="G1867">
        <v>3</v>
      </c>
      <c r="H1867" s="4">
        <v>0</v>
      </c>
      <c r="I1867" t="s">
        <v>33</v>
      </c>
      <c r="J1867" t="s">
        <v>33</v>
      </c>
      <c r="L1867">
        <f t="shared" si="58"/>
        <v>2021</v>
      </c>
      <c r="M1867" t="str">
        <f t="shared" si="59"/>
        <v>COVID Period</v>
      </c>
    </row>
    <row r="1868" spans="1:13" x14ac:dyDescent="0.25">
      <c r="A1868" s="2">
        <v>44473</v>
      </c>
      <c r="B1868" t="s">
        <v>40</v>
      </c>
      <c r="C1868">
        <v>21</v>
      </c>
      <c r="D1868" s="3">
        <v>0.65</v>
      </c>
      <c r="E1868" s="3">
        <v>13.65</v>
      </c>
      <c r="F1868">
        <v>22</v>
      </c>
      <c r="G1868">
        <v>5</v>
      </c>
      <c r="H1868" s="4">
        <v>1.1000000000000001</v>
      </c>
      <c r="I1868" t="s">
        <v>46</v>
      </c>
      <c r="J1868" t="s">
        <v>33</v>
      </c>
      <c r="K1868" t="s">
        <v>47</v>
      </c>
      <c r="L1868">
        <f t="shared" si="58"/>
        <v>2021</v>
      </c>
      <c r="M1868" t="str">
        <f t="shared" si="59"/>
        <v>COVID Period</v>
      </c>
    </row>
    <row r="1869" spans="1:13" x14ac:dyDescent="0.25">
      <c r="A1869" s="2">
        <v>44473</v>
      </c>
      <c r="B1869" t="s">
        <v>41</v>
      </c>
      <c r="C1869">
        <v>14</v>
      </c>
      <c r="D1869" s="3">
        <v>1.31</v>
      </c>
      <c r="E1869" s="3">
        <v>18.34</v>
      </c>
      <c r="F1869">
        <v>23</v>
      </c>
      <c r="G1869">
        <v>10</v>
      </c>
      <c r="H1869" s="4">
        <v>3.2</v>
      </c>
      <c r="I1869" t="s">
        <v>46</v>
      </c>
      <c r="J1869" t="s">
        <v>33</v>
      </c>
      <c r="K1869" t="s">
        <v>47</v>
      </c>
      <c r="L1869">
        <f t="shared" si="58"/>
        <v>2021</v>
      </c>
      <c r="M1869" t="str">
        <f t="shared" si="59"/>
        <v>COVID Period</v>
      </c>
    </row>
    <row r="1870" spans="1:13" x14ac:dyDescent="0.25">
      <c r="A1870" s="2">
        <v>44473</v>
      </c>
      <c r="B1870" t="s">
        <v>42</v>
      </c>
      <c r="C1870">
        <v>28</v>
      </c>
      <c r="D1870" s="3">
        <v>4.3899999999999997</v>
      </c>
      <c r="E1870" s="3">
        <v>122.92</v>
      </c>
      <c r="F1870">
        <v>30</v>
      </c>
      <c r="G1870">
        <v>3</v>
      </c>
      <c r="H1870" s="4">
        <v>0.4</v>
      </c>
      <c r="I1870" t="s">
        <v>46</v>
      </c>
      <c r="J1870" t="s">
        <v>33</v>
      </c>
      <c r="K1870" t="s">
        <v>47</v>
      </c>
      <c r="L1870">
        <f t="shared" si="58"/>
        <v>2021</v>
      </c>
      <c r="M1870" t="str">
        <f t="shared" si="59"/>
        <v>COVID Period</v>
      </c>
    </row>
    <row r="1871" spans="1:13" x14ac:dyDescent="0.25">
      <c r="A1871" s="2">
        <v>44473</v>
      </c>
      <c r="B1871" t="s">
        <v>43</v>
      </c>
      <c r="C1871">
        <v>15</v>
      </c>
      <c r="D1871" s="3">
        <v>5.58</v>
      </c>
      <c r="E1871" s="3">
        <v>83.7</v>
      </c>
      <c r="F1871">
        <v>22</v>
      </c>
      <c r="G1871">
        <v>7</v>
      </c>
      <c r="H1871" s="4">
        <v>4</v>
      </c>
      <c r="I1871" t="s">
        <v>46</v>
      </c>
      <c r="J1871" t="s">
        <v>33</v>
      </c>
      <c r="L1871">
        <f t="shared" si="58"/>
        <v>2021</v>
      </c>
      <c r="M1871" t="str">
        <f t="shared" si="59"/>
        <v>COVID Period</v>
      </c>
    </row>
    <row r="1872" spans="1:13" x14ac:dyDescent="0.25">
      <c r="A1872" s="2">
        <v>44473</v>
      </c>
      <c r="B1872" t="s">
        <v>44</v>
      </c>
      <c r="C1872">
        <v>1</v>
      </c>
      <c r="D1872" s="3">
        <v>4.83</v>
      </c>
      <c r="E1872" s="3">
        <v>4.83</v>
      </c>
      <c r="F1872">
        <v>3</v>
      </c>
      <c r="G1872">
        <v>2</v>
      </c>
      <c r="H1872" s="4">
        <v>3.2</v>
      </c>
      <c r="I1872" t="s">
        <v>46</v>
      </c>
      <c r="J1872" t="s">
        <v>46</v>
      </c>
      <c r="K1872" t="s">
        <v>47</v>
      </c>
      <c r="L1872">
        <f t="shared" si="58"/>
        <v>2021</v>
      </c>
      <c r="M1872" t="str">
        <f t="shared" si="59"/>
        <v>COVID Period</v>
      </c>
    </row>
    <row r="1873" spans="1:13" x14ac:dyDescent="0.25">
      <c r="A1873" s="2">
        <v>44473</v>
      </c>
      <c r="B1873" t="s">
        <v>45</v>
      </c>
      <c r="C1873">
        <v>0</v>
      </c>
      <c r="D1873" s="3">
        <v>14.85</v>
      </c>
      <c r="E1873" s="3">
        <v>0</v>
      </c>
      <c r="F1873">
        <v>3</v>
      </c>
      <c r="G1873">
        <v>3</v>
      </c>
      <c r="H1873" s="4">
        <v>3.8</v>
      </c>
      <c r="I1873" t="s">
        <v>46</v>
      </c>
      <c r="J1873" t="s">
        <v>33</v>
      </c>
      <c r="L1873">
        <f t="shared" si="58"/>
        <v>2021</v>
      </c>
      <c r="M1873" t="str">
        <f t="shared" si="59"/>
        <v>COVID Period</v>
      </c>
    </row>
    <row r="1874" spans="1:13" x14ac:dyDescent="0.25">
      <c r="A1874" s="2">
        <v>44480</v>
      </c>
      <c r="B1874" t="s">
        <v>32</v>
      </c>
      <c r="C1874">
        <v>18</v>
      </c>
      <c r="D1874" s="3">
        <v>7.03</v>
      </c>
      <c r="E1874" s="3">
        <v>126.54</v>
      </c>
      <c r="F1874">
        <v>23</v>
      </c>
      <c r="G1874">
        <v>6</v>
      </c>
      <c r="H1874" s="4">
        <v>1.9</v>
      </c>
      <c r="I1874" t="s">
        <v>33</v>
      </c>
      <c r="J1874" t="s">
        <v>33</v>
      </c>
      <c r="L1874">
        <f t="shared" si="58"/>
        <v>2021</v>
      </c>
      <c r="M1874" t="str">
        <f t="shared" si="59"/>
        <v>COVID Period</v>
      </c>
    </row>
    <row r="1875" spans="1:13" x14ac:dyDescent="0.25">
      <c r="A1875" s="2">
        <v>44480</v>
      </c>
      <c r="B1875" t="s">
        <v>34</v>
      </c>
      <c r="C1875">
        <v>15</v>
      </c>
      <c r="D1875" s="3">
        <v>7.05</v>
      </c>
      <c r="E1875" s="3">
        <v>105.75</v>
      </c>
      <c r="F1875">
        <v>22</v>
      </c>
      <c r="G1875">
        <v>11</v>
      </c>
      <c r="H1875" s="4">
        <v>0</v>
      </c>
      <c r="I1875" t="s">
        <v>33</v>
      </c>
      <c r="J1875" t="s">
        <v>33</v>
      </c>
      <c r="L1875">
        <f t="shared" si="58"/>
        <v>2021</v>
      </c>
      <c r="M1875" t="str">
        <f t="shared" si="59"/>
        <v>COVID Period</v>
      </c>
    </row>
    <row r="1876" spans="1:13" x14ac:dyDescent="0.25">
      <c r="A1876" s="2">
        <v>44480</v>
      </c>
      <c r="B1876" t="s">
        <v>35</v>
      </c>
      <c r="C1876">
        <v>11</v>
      </c>
      <c r="D1876" s="3">
        <v>5.9</v>
      </c>
      <c r="E1876" s="3">
        <v>64.900000000000006</v>
      </c>
      <c r="F1876">
        <v>16</v>
      </c>
      <c r="G1876">
        <v>5</v>
      </c>
      <c r="H1876" s="4">
        <v>0.9</v>
      </c>
      <c r="I1876" t="s">
        <v>33</v>
      </c>
      <c r="J1876" t="s">
        <v>33</v>
      </c>
      <c r="L1876">
        <f t="shared" si="58"/>
        <v>2021</v>
      </c>
      <c r="M1876" t="str">
        <f t="shared" si="59"/>
        <v>COVID Period</v>
      </c>
    </row>
    <row r="1877" spans="1:13" x14ac:dyDescent="0.25">
      <c r="A1877" s="2">
        <v>44480</v>
      </c>
      <c r="B1877" t="s">
        <v>36</v>
      </c>
      <c r="C1877">
        <v>12</v>
      </c>
      <c r="D1877" s="3">
        <v>6.46</v>
      </c>
      <c r="E1877" s="3">
        <v>77.52</v>
      </c>
      <c r="F1877">
        <v>14</v>
      </c>
      <c r="G1877">
        <v>4</v>
      </c>
      <c r="H1877" s="4">
        <v>1.5</v>
      </c>
      <c r="I1877" t="s">
        <v>33</v>
      </c>
      <c r="J1877" t="s">
        <v>33</v>
      </c>
      <c r="L1877">
        <f t="shared" si="58"/>
        <v>2021</v>
      </c>
      <c r="M1877" t="str">
        <f t="shared" si="59"/>
        <v>COVID Period</v>
      </c>
    </row>
    <row r="1878" spans="1:13" x14ac:dyDescent="0.25">
      <c r="A1878" s="2">
        <v>44480</v>
      </c>
      <c r="B1878" t="s">
        <v>37</v>
      </c>
      <c r="C1878">
        <v>18</v>
      </c>
      <c r="D1878" s="3">
        <v>3.13</v>
      </c>
      <c r="E1878" s="3">
        <v>56.34</v>
      </c>
      <c r="F1878">
        <v>23</v>
      </c>
      <c r="G1878">
        <v>6</v>
      </c>
      <c r="H1878" s="4">
        <v>1</v>
      </c>
      <c r="I1878" t="s">
        <v>33</v>
      </c>
      <c r="J1878" t="s">
        <v>33</v>
      </c>
      <c r="L1878">
        <f t="shared" si="58"/>
        <v>2021</v>
      </c>
      <c r="M1878" t="str">
        <f t="shared" si="59"/>
        <v>COVID Period</v>
      </c>
    </row>
    <row r="1879" spans="1:13" x14ac:dyDescent="0.25">
      <c r="A1879" s="2">
        <v>44480</v>
      </c>
      <c r="B1879" t="s">
        <v>38</v>
      </c>
      <c r="C1879">
        <v>15</v>
      </c>
      <c r="D1879" s="3">
        <v>8.2100000000000009</v>
      </c>
      <c r="E1879" s="3">
        <v>123.15</v>
      </c>
      <c r="F1879">
        <v>21</v>
      </c>
      <c r="G1879">
        <v>6</v>
      </c>
      <c r="H1879" s="4">
        <v>0.9</v>
      </c>
      <c r="I1879" t="s">
        <v>33</v>
      </c>
      <c r="J1879" t="s">
        <v>33</v>
      </c>
      <c r="L1879">
        <f t="shared" si="58"/>
        <v>2021</v>
      </c>
      <c r="M1879" t="str">
        <f t="shared" si="59"/>
        <v>COVID Period</v>
      </c>
    </row>
    <row r="1880" spans="1:13" x14ac:dyDescent="0.25">
      <c r="A1880" s="2">
        <v>44480</v>
      </c>
      <c r="B1880" t="s">
        <v>39</v>
      </c>
      <c r="C1880">
        <v>27</v>
      </c>
      <c r="D1880" s="3">
        <v>11.44</v>
      </c>
      <c r="E1880" s="3">
        <v>308.88</v>
      </c>
      <c r="F1880">
        <v>38</v>
      </c>
      <c r="G1880">
        <v>17</v>
      </c>
      <c r="H1880" s="4">
        <v>2.2000000000000002</v>
      </c>
      <c r="I1880" t="s">
        <v>33</v>
      </c>
      <c r="J1880" t="s">
        <v>33</v>
      </c>
      <c r="L1880">
        <f t="shared" si="58"/>
        <v>2021</v>
      </c>
      <c r="M1880" t="str">
        <f t="shared" si="59"/>
        <v>COVID Period</v>
      </c>
    </row>
    <row r="1881" spans="1:13" x14ac:dyDescent="0.25">
      <c r="A1881" s="2">
        <v>44480</v>
      </c>
      <c r="B1881" t="s">
        <v>40</v>
      </c>
      <c r="C1881">
        <v>20</v>
      </c>
      <c r="D1881" s="3">
        <v>0.65</v>
      </c>
      <c r="E1881" s="3">
        <v>13</v>
      </c>
      <c r="F1881">
        <v>26</v>
      </c>
      <c r="G1881">
        <v>10</v>
      </c>
      <c r="H1881" s="4">
        <v>1.1000000000000001</v>
      </c>
      <c r="I1881" t="s">
        <v>46</v>
      </c>
      <c r="J1881" t="s">
        <v>33</v>
      </c>
      <c r="K1881" t="s">
        <v>47</v>
      </c>
      <c r="L1881">
        <f t="shared" si="58"/>
        <v>2021</v>
      </c>
      <c r="M1881" t="str">
        <f t="shared" si="59"/>
        <v>COVID Period</v>
      </c>
    </row>
    <row r="1882" spans="1:13" x14ac:dyDescent="0.25">
      <c r="A1882" s="2">
        <v>44480</v>
      </c>
      <c r="B1882" t="s">
        <v>41</v>
      </c>
      <c r="C1882">
        <v>17</v>
      </c>
      <c r="D1882" s="3">
        <v>1.39</v>
      </c>
      <c r="E1882" s="3">
        <v>23.63</v>
      </c>
      <c r="F1882">
        <v>26</v>
      </c>
      <c r="G1882">
        <v>10</v>
      </c>
      <c r="H1882" s="4">
        <v>2.6</v>
      </c>
      <c r="I1882" t="s">
        <v>46</v>
      </c>
      <c r="J1882" t="s">
        <v>33</v>
      </c>
      <c r="K1882" t="s">
        <v>47</v>
      </c>
      <c r="L1882">
        <f t="shared" si="58"/>
        <v>2021</v>
      </c>
      <c r="M1882" t="str">
        <f t="shared" si="59"/>
        <v>COVID Period</v>
      </c>
    </row>
    <row r="1883" spans="1:13" x14ac:dyDescent="0.25">
      <c r="A1883" s="2">
        <v>44480</v>
      </c>
      <c r="B1883" t="s">
        <v>42</v>
      </c>
      <c r="C1883">
        <v>20</v>
      </c>
      <c r="D1883" s="3">
        <v>4.41</v>
      </c>
      <c r="E1883" s="3">
        <v>88.2</v>
      </c>
      <c r="F1883">
        <v>30</v>
      </c>
      <c r="G1883">
        <v>12</v>
      </c>
      <c r="H1883" s="4">
        <v>4.2</v>
      </c>
      <c r="I1883" t="s">
        <v>46</v>
      </c>
      <c r="J1883" t="s">
        <v>33</v>
      </c>
      <c r="K1883" t="s">
        <v>47</v>
      </c>
      <c r="L1883">
        <f t="shared" si="58"/>
        <v>2021</v>
      </c>
      <c r="M1883" t="str">
        <f t="shared" si="59"/>
        <v>COVID Period</v>
      </c>
    </row>
    <row r="1884" spans="1:13" x14ac:dyDescent="0.25">
      <c r="A1884" s="2">
        <v>44480</v>
      </c>
      <c r="B1884" t="s">
        <v>43</v>
      </c>
      <c r="C1884">
        <v>13</v>
      </c>
      <c r="D1884" s="3">
        <v>5.41</v>
      </c>
      <c r="E1884" s="3">
        <v>70.33</v>
      </c>
      <c r="F1884">
        <v>17</v>
      </c>
      <c r="G1884">
        <v>4</v>
      </c>
      <c r="H1884" s="4">
        <v>3.5</v>
      </c>
      <c r="I1884" t="s">
        <v>46</v>
      </c>
      <c r="J1884" t="s">
        <v>33</v>
      </c>
      <c r="L1884">
        <f t="shared" si="58"/>
        <v>2021</v>
      </c>
      <c r="M1884" t="str">
        <f t="shared" si="59"/>
        <v>COVID Period</v>
      </c>
    </row>
    <row r="1885" spans="1:13" x14ac:dyDescent="0.25">
      <c r="A1885" s="2">
        <v>44480</v>
      </c>
      <c r="B1885" t="s">
        <v>44</v>
      </c>
      <c r="C1885">
        <v>0</v>
      </c>
      <c r="D1885" s="3">
        <v>4.83</v>
      </c>
      <c r="E1885" s="3">
        <v>0</v>
      </c>
      <c r="F1885">
        <v>3</v>
      </c>
      <c r="G1885">
        <v>3</v>
      </c>
      <c r="H1885" s="4">
        <v>2.5</v>
      </c>
      <c r="I1885" t="s">
        <v>46</v>
      </c>
      <c r="J1885" t="s">
        <v>33</v>
      </c>
      <c r="K1885" t="s">
        <v>47</v>
      </c>
      <c r="L1885">
        <f t="shared" si="58"/>
        <v>2021</v>
      </c>
      <c r="M1885" t="str">
        <f t="shared" si="59"/>
        <v>COVID Period</v>
      </c>
    </row>
    <row r="1886" spans="1:13" x14ac:dyDescent="0.25">
      <c r="A1886" s="2">
        <v>44480</v>
      </c>
      <c r="B1886" t="s">
        <v>45</v>
      </c>
      <c r="C1886">
        <v>0</v>
      </c>
      <c r="D1886" s="3">
        <v>15.1</v>
      </c>
      <c r="E1886" s="3">
        <v>0</v>
      </c>
      <c r="F1886">
        <v>3</v>
      </c>
      <c r="G1886">
        <v>3</v>
      </c>
      <c r="H1886" s="4">
        <v>4.2</v>
      </c>
      <c r="I1886" t="s">
        <v>46</v>
      </c>
      <c r="J1886" t="s">
        <v>33</v>
      </c>
      <c r="L1886">
        <f t="shared" si="58"/>
        <v>2021</v>
      </c>
      <c r="M1886" t="str">
        <f t="shared" si="59"/>
        <v>COVID Period</v>
      </c>
    </row>
    <row r="1887" spans="1:13" x14ac:dyDescent="0.25">
      <c r="A1887" s="2">
        <v>44487</v>
      </c>
      <c r="B1887" t="s">
        <v>32</v>
      </c>
      <c r="C1887">
        <v>22</v>
      </c>
      <c r="D1887" s="3">
        <v>7</v>
      </c>
      <c r="E1887" s="3">
        <v>154</v>
      </c>
      <c r="F1887">
        <v>36</v>
      </c>
      <c r="G1887">
        <v>20</v>
      </c>
      <c r="H1887" s="4">
        <v>1.6</v>
      </c>
      <c r="I1887" t="s">
        <v>33</v>
      </c>
      <c r="J1887" t="s">
        <v>33</v>
      </c>
      <c r="L1887">
        <f t="shared" si="58"/>
        <v>2021</v>
      </c>
      <c r="M1887" t="str">
        <f t="shared" si="59"/>
        <v>COVID Period</v>
      </c>
    </row>
    <row r="1888" spans="1:13" x14ac:dyDescent="0.25">
      <c r="A1888" s="2">
        <v>44487</v>
      </c>
      <c r="B1888" t="s">
        <v>34</v>
      </c>
      <c r="C1888">
        <v>16</v>
      </c>
      <c r="D1888" s="3">
        <v>7.4</v>
      </c>
      <c r="E1888" s="3">
        <v>118.4</v>
      </c>
      <c r="F1888">
        <v>20</v>
      </c>
      <c r="G1888">
        <v>5</v>
      </c>
      <c r="H1888" s="4">
        <v>0.9</v>
      </c>
      <c r="I1888" t="s">
        <v>33</v>
      </c>
      <c r="J1888" t="s">
        <v>33</v>
      </c>
      <c r="L1888">
        <f t="shared" si="58"/>
        <v>2021</v>
      </c>
      <c r="M1888" t="str">
        <f t="shared" si="59"/>
        <v>COVID Period</v>
      </c>
    </row>
    <row r="1889" spans="1:13" x14ac:dyDescent="0.25">
      <c r="A1889" s="2">
        <v>44487</v>
      </c>
      <c r="B1889" t="s">
        <v>35</v>
      </c>
      <c r="C1889">
        <v>16</v>
      </c>
      <c r="D1889" s="3">
        <v>5.93</v>
      </c>
      <c r="E1889" s="3">
        <v>94.88</v>
      </c>
      <c r="F1889">
        <v>18</v>
      </c>
      <c r="G1889">
        <v>2</v>
      </c>
      <c r="H1889" s="4">
        <v>0.7</v>
      </c>
      <c r="I1889" t="s">
        <v>33</v>
      </c>
      <c r="J1889" t="s">
        <v>33</v>
      </c>
      <c r="L1889">
        <f t="shared" si="58"/>
        <v>2021</v>
      </c>
      <c r="M1889" t="str">
        <f t="shared" si="59"/>
        <v>COVID Period</v>
      </c>
    </row>
    <row r="1890" spans="1:13" x14ac:dyDescent="0.25">
      <c r="A1890" s="2">
        <v>44487</v>
      </c>
      <c r="B1890" t="s">
        <v>36</v>
      </c>
      <c r="C1890">
        <v>13</v>
      </c>
      <c r="D1890" s="3">
        <v>6.15</v>
      </c>
      <c r="E1890" s="3">
        <v>79.95</v>
      </c>
      <c r="F1890">
        <v>14</v>
      </c>
      <c r="G1890">
        <v>1</v>
      </c>
      <c r="H1890" s="4">
        <v>2.6</v>
      </c>
      <c r="I1890" t="s">
        <v>33</v>
      </c>
      <c r="J1890" t="s">
        <v>33</v>
      </c>
      <c r="L1890">
        <f t="shared" si="58"/>
        <v>2021</v>
      </c>
      <c r="M1890" t="str">
        <f t="shared" si="59"/>
        <v>COVID Period</v>
      </c>
    </row>
    <row r="1891" spans="1:13" x14ac:dyDescent="0.25">
      <c r="A1891" s="2">
        <v>44487</v>
      </c>
      <c r="B1891" t="s">
        <v>37</v>
      </c>
      <c r="C1891">
        <v>26</v>
      </c>
      <c r="D1891" s="3">
        <v>3.16</v>
      </c>
      <c r="E1891" s="3">
        <v>82.16</v>
      </c>
      <c r="F1891">
        <v>37</v>
      </c>
      <c r="G1891">
        <v>11</v>
      </c>
      <c r="H1891" s="4">
        <v>1.2</v>
      </c>
      <c r="I1891" t="s">
        <v>33</v>
      </c>
      <c r="J1891" t="s">
        <v>33</v>
      </c>
      <c r="L1891">
        <f t="shared" si="58"/>
        <v>2021</v>
      </c>
      <c r="M1891" t="str">
        <f t="shared" si="59"/>
        <v>COVID Period</v>
      </c>
    </row>
    <row r="1892" spans="1:13" x14ac:dyDescent="0.25">
      <c r="A1892" s="2">
        <v>44487</v>
      </c>
      <c r="B1892" t="s">
        <v>38</v>
      </c>
      <c r="C1892">
        <v>8</v>
      </c>
      <c r="D1892" s="3">
        <v>8.85</v>
      </c>
      <c r="E1892" s="3">
        <v>70.8</v>
      </c>
      <c r="F1892">
        <v>12</v>
      </c>
      <c r="G1892">
        <v>4</v>
      </c>
      <c r="H1892" s="4">
        <v>1.1000000000000001</v>
      </c>
      <c r="I1892" t="s">
        <v>33</v>
      </c>
      <c r="J1892" t="s">
        <v>33</v>
      </c>
      <c r="L1892">
        <f t="shared" si="58"/>
        <v>2021</v>
      </c>
      <c r="M1892" t="str">
        <f t="shared" si="59"/>
        <v>COVID Period</v>
      </c>
    </row>
    <row r="1893" spans="1:13" x14ac:dyDescent="0.25">
      <c r="A1893" s="2">
        <v>44487</v>
      </c>
      <c r="B1893" t="s">
        <v>39</v>
      </c>
      <c r="C1893">
        <v>27</v>
      </c>
      <c r="D1893" s="3">
        <v>11.98</v>
      </c>
      <c r="E1893" s="3">
        <v>323.45999999999998</v>
      </c>
      <c r="F1893">
        <v>42</v>
      </c>
      <c r="G1893">
        <v>15</v>
      </c>
      <c r="H1893" s="4">
        <v>1.2</v>
      </c>
      <c r="I1893" t="s">
        <v>33</v>
      </c>
      <c r="J1893" t="s">
        <v>33</v>
      </c>
      <c r="L1893">
        <f t="shared" si="58"/>
        <v>2021</v>
      </c>
      <c r="M1893" t="str">
        <f t="shared" si="59"/>
        <v>COVID Period</v>
      </c>
    </row>
    <row r="1894" spans="1:13" x14ac:dyDescent="0.25">
      <c r="A1894" s="2">
        <v>44487</v>
      </c>
      <c r="B1894" t="s">
        <v>40</v>
      </c>
      <c r="C1894">
        <v>22</v>
      </c>
      <c r="D1894" s="3">
        <v>0.68</v>
      </c>
      <c r="E1894" s="3">
        <v>14.96</v>
      </c>
      <c r="F1894">
        <v>36</v>
      </c>
      <c r="G1894">
        <v>19</v>
      </c>
      <c r="H1894" s="4">
        <v>1.4</v>
      </c>
      <c r="I1894" t="s">
        <v>46</v>
      </c>
      <c r="J1894" t="s">
        <v>33</v>
      </c>
      <c r="K1894" t="s">
        <v>47</v>
      </c>
      <c r="L1894">
        <f t="shared" si="58"/>
        <v>2021</v>
      </c>
      <c r="M1894" t="str">
        <f t="shared" si="59"/>
        <v>COVID Period</v>
      </c>
    </row>
    <row r="1895" spans="1:13" x14ac:dyDescent="0.25">
      <c r="A1895" s="2">
        <v>44487</v>
      </c>
      <c r="B1895" t="s">
        <v>41</v>
      </c>
      <c r="C1895">
        <v>20</v>
      </c>
      <c r="D1895" s="3">
        <v>1.32</v>
      </c>
      <c r="E1895" s="3">
        <v>26.4</v>
      </c>
      <c r="F1895">
        <v>30</v>
      </c>
      <c r="G1895">
        <v>15</v>
      </c>
      <c r="H1895" s="4">
        <v>1.7</v>
      </c>
      <c r="I1895" t="s">
        <v>46</v>
      </c>
      <c r="J1895" t="s">
        <v>33</v>
      </c>
      <c r="K1895" t="s">
        <v>47</v>
      </c>
      <c r="L1895">
        <f t="shared" si="58"/>
        <v>2021</v>
      </c>
      <c r="M1895" t="str">
        <f t="shared" si="59"/>
        <v>COVID Period</v>
      </c>
    </row>
    <row r="1896" spans="1:13" x14ac:dyDescent="0.25">
      <c r="A1896" s="2">
        <v>44487</v>
      </c>
      <c r="B1896" t="s">
        <v>42</v>
      </c>
      <c r="C1896">
        <v>22</v>
      </c>
      <c r="D1896" s="3">
        <v>4.29</v>
      </c>
      <c r="E1896" s="3">
        <v>94.38</v>
      </c>
      <c r="F1896">
        <v>35</v>
      </c>
      <c r="G1896">
        <v>17</v>
      </c>
      <c r="H1896" s="4">
        <v>2.8</v>
      </c>
      <c r="I1896" t="s">
        <v>46</v>
      </c>
      <c r="J1896" t="s">
        <v>33</v>
      </c>
      <c r="K1896" t="s">
        <v>47</v>
      </c>
      <c r="L1896">
        <f t="shared" si="58"/>
        <v>2021</v>
      </c>
      <c r="M1896" t="str">
        <f t="shared" si="59"/>
        <v>COVID Period</v>
      </c>
    </row>
    <row r="1897" spans="1:13" x14ac:dyDescent="0.25">
      <c r="A1897" s="2">
        <v>44487</v>
      </c>
      <c r="B1897" t="s">
        <v>43</v>
      </c>
      <c r="C1897">
        <v>13</v>
      </c>
      <c r="D1897" s="3">
        <v>5.53</v>
      </c>
      <c r="E1897" s="3">
        <v>71.89</v>
      </c>
      <c r="F1897">
        <v>19</v>
      </c>
      <c r="G1897">
        <v>7</v>
      </c>
      <c r="H1897" s="4">
        <v>0</v>
      </c>
      <c r="I1897" t="s">
        <v>46</v>
      </c>
      <c r="J1897" t="s">
        <v>33</v>
      </c>
      <c r="L1897">
        <f t="shared" si="58"/>
        <v>2021</v>
      </c>
      <c r="M1897" t="str">
        <f t="shared" si="59"/>
        <v>COVID Period</v>
      </c>
    </row>
    <row r="1898" spans="1:13" x14ac:dyDescent="0.25">
      <c r="A1898" s="2">
        <v>44487</v>
      </c>
      <c r="B1898" t="s">
        <v>44</v>
      </c>
      <c r="C1898">
        <v>0</v>
      </c>
      <c r="D1898" s="3">
        <v>5</v>
      </c>
      <c r="E1898" s="3">
        <v>0</v>
      </c>
      <c r="F1898">
        <v>3</v>
      </c>
      <c r="G1898">
        <v>3</v>
      </c>
      <c r="H1898" s="4">
        <v>3.1</v>
      </c>
      <c r="I1898" t="s">
        <v>46</v>
      </c>
      <c r="J1898" t="s">
        <v>33</v>
      </c>
      <c r="K1898" t="s">
        <v>47</v>
      </c>
      <c r="L1898">
        <f t="shared" si="58"/>
        <v>2021</v>
      </c>
      <c r="M1898" t="str">
        <f t="shared" si="59"/>
        <v>COVID Period</v>
      </c>
    </row>
    <row r="1899" spans="1:13" x14ac:dyDescent="0.25">
      <c r="A1899" s="2">
        <v>44487</v>
      </c>
      <c r="B1899" t="s">
        <v>45</v>
      </c>
      <c r="C1899">
        <v>0</v>
      </c>
      <c r="D1899" s="3">
        <v>14.49</v>
      </c>
      <c r="E1899" s="3">
        <v>0</v>
      </c>
      <c r="F1899">
        <v>3</v>
      </c>
      <c r="G1899">
        <v>3</v>
      </c>
      <c r="H1899" s="4">
        <v>2.2000000000000002</v>
      </c>
      <c r="I1899" t="s">
        <v>46</v>
      </c>
      <c r="J1899" t="s">
        <v>33</v>
      </c>
      <c r="L1899">
        <f t="shared" si="58"/>
        <v>2021</v>
      </c>
      <c r="M1899" t="str">
        <f t="shared" si="59"/>
        <v>COVID Period</v>
      </c>
    </row>
    <row r="1900" spans="1:13" x14ac:dyDescent="0.25">
      <c r="A1900" s="2">
        <v>44494</v>
      </c>
      <c r="B1900" t="s">
        <v>32</v>
      </c>
      <c r="C1900">
        <v>23</v>
      </c>
      <c r="D1900" s="3">
        <v>6.69</v>
      </c>
      <c r="E1900" s="3">
        <v>153.87</v>
      </c>
      <c r="F1900">
        <v>29</v>
      </c>
      <c r="G1900">
        <v>7</v>
      </c>
      <c r="H1900" s="4">
        <v>0.8</v>
      </c>
      <c r="I1900" t="s">
        <v>33</v>
      </c>
      <c r="J1900" t="s">
        <v>33</v>
      </c>
      <c r="L1900">
        <f t="shared" si="58"/>
        <v>2021</v>
      </c>
      <c r="M1900" t="str">
        <f t="shared" si="59"/>
        <v>COVID Period</v>
      </c>
    </row>
    <row r="1901" spans="1:13" x14ac:dyDescent="0.25">
      <c r="A1901" s="2">
        <v>44494</v>
      </c>
      <c r="B1901" t="s">
        <v>34</v>
      </c>
      <c r="C1901">
        <v>13</v>
      </c>
      <c r="D1901" s="3">
        <v>7.09</v>
      </c>
      <c r="E1901" s="3">
        <v>92.17</v>
      </c>
      <c r="F1901">
        <v>19</v>
      </c>
      <c r="G1901">
        <v>8</v>
      </c>
      <c r="H1901" s="4">
        <v>1.5</v>
      </c>
      <c r="I1901" t="s">
        <v>33</v>
      </c>
      <c r="J1901" t="s">
        <v>33</v>
      </c>
      <c r="L1901">
        <f t="shared" si="58"/>
        <v>2021</v>
      </c>
      <c r="M1901" t="str">
        <f t="shared" si="59"/>
        <v>COVID Period</v>
      </c>
    </row>
    <row r="1902" spans="1:13" x14ac:dyDescent="0.25">
      <c r="A1902" s="2">
        <v>44494</v>
      </c>
      <c r="B1902" t="s">
        <v>35</v>
      </c>
      <c r="C1902">
        <v>10</v>
      </c>
      <c r="D1902" s="3">
        <v>5.94</v>
      </c>
      <c r="E1902" s="3">
        <v>59.4</v>
      </c>
      <c r="F1902">
        <v>12</v>
      </c>
      <c r="G1902">
        <v>4</v>
      </c>
      <c r="H1902" s="4">
        <v>0.7</v>
      </c>
      <c r="I1902" t="s">
        <v>33</v>
      </c>
      <c r="J1902" t="s">
        <v>33</v>
      </c>
      <c r="L1902">
        <f t="shared" si="58"/>
        <v>2021</v>
      </c>
      <c r="M1902" t="str">
        <f t="shared" si="59"/>
        <v>COVID Period</v>
      </c>
    </row>
    <row r="1903" spans="1:13" x14ac:dyDescent="0.25">
      <c r="A1903" s="2">
        <v>44494</v>
      </c>
      <c r="B1903" t="s">
        <v>36</v>
      </c>
      <c r="C1903">
        <v>10</v>
      </c>
      <c r="D1903" s="3">
        <v>6.36</v>
      </c>
      <c r="E1903" s="3">
        <v>63.6</v>
      </c>
      <c r="F1903">
        <v>12</v>
      </c>
      <c r="G1903">
        <v>3</v>
      </c>
      <c r="H1903" s="4">
        <v>1.5</v>
      </c>
      <c r="I1903" t="s">
        <v>33</v>
      </c>
      <c r="J1903" t="s">
        <v>33</v>
      </c>
      <c r="L1903">
        <f t="shared" si="58"/>
        <v>2021</v>
      </c>
      <c r="M1903" t="str">
        <f t="shared" si="59"/>
        <v>COVID Period</v>
      </c>
    </row>
    <row r="1904" spans="1:13" x14ac:dyDescent="0.25">
      <c r="A1904" s="2">
        <v>44494</v>
      </c>
      <c r="B1904" t="s">
        <v>37</v>
      </c>
      <c r="C1904">
        <v>32</v>
      </c>
      <c r="D1904" s="3">
        <v>3.2</v>
      </c>
      <c r="E1904" s="3">
        <v>102.4</v>
      </c>
      <c r="F1904">
        <v>52</v>
      </c>
      <c r="G1904">
        <v>27</v>
      </c>
      <c r="H1904" s="4">
        <v>1.2</v>
      </c>
      <c r="I1904" t="s">
        <v>33</v>
      </c>
      <c r="J1904" t="s">
        <v>33</v>
      </c>
      <c r="L1904">
        <f t="shared" si="58"/>
        <v>2021</v>
      </c>
      <c r="M1904" t="str">
        <f t="shared" si="59"/>
        <v>COVID Period</v>
      </c>
    </row>
    <row r="1905" spans="1:13" x14ac:dyDescent="0.25">
      <c r="A1905" s="2">
        <v>44494</v>
      </c>
      <c r="B1905" t="s">
        <v>38</v>
      </c>
      <c r="C1905">
        <v>14</v>
      </c>
      <c r="D1905" s="3">
        <v>8.58</v>
      </c>
      <c r="E1905" s="3">
        <v>120.12</v>
      </c>
      <c r="F1905">
        <v>18</v>
      </c>
      <c r="G1905">
        <v>5</v>
      </c>
      <c r="H1905" s="4">
        <v>1.4</v>
      </c>
      <c r="I1905" t="s">
        <v>33</v>
      </c>
      <c r="J1905" t="s">
        <v>33</v>
      </c>
      <c r="L1905">
        <f t="shared" si="58"/>
        <v>2021</v>
      </c>
      <c r="M1905" t="str">
        <f t="shared" si="59"/>
        <v>COVID Period</v>
      </c>
    </row>
    <row r="1906" spans="1:13" x14ac:dyDescent="0.25">
      <c r="A1906" s="2">
        <v>44494</v>
      </c>
      <c r="B1906" t="s">
        <v>39</v>
      </c>
      <c r="C1906">
        <v>31</v>
      </c>
      <c r="D1906" s="3">
        <v>12.02</v>
      </c>
      <c r="E1906" s="3">
        <v>372.62</v>
      </c>
      <c r="F1906">
        <v>45</v>
      </c>
      <c r="G1906">
        <v>22</v>
      </c>
      <c r="H1906" s="4">
        <v>3.5</v>
      </c>
      <c r="I1906" t="s">
        <v>33</v>
      </c>
      <c r="J1906" t="s">
        <v>33</v>
      </c>
      <c r="L1906">
        <f t="shared" si="58"/>
        <v>2021</v>
      </c>
      <c r="M1906" t="str">
        <f t="shared" si="59"/>
        <v>COVID Period</v>
      </c>
    </row>
    <row r="1907" spans="1:13" x14ac:dyDescent="0.25">
      <c r="A1907" s="2">
        <v>44494</v>
      </c>
      <c r="B1907" t="s">
        <v>40</v>
      </c>
      <c r="C1907">
        <v>35</v>
      </c>
      <c r="D1907" s="3">
        <v>0.66</v>
      </c>
      <c r="E1907" s="3">
        <v>23.1</v>
      </c>
      <c r="F1907">
        <v>55</v>
      </c>
      <c r="G1907">
        <v>24</v>
      </c>
      <c r="H1907" s="4">
        <v>2</v>
      </c>
      <c r="I1907" t="s">
        <v>46</v>
      </c>
      <c r="J1907" t="s">
        <v>33</v>
      </c>
      <c r="K1907" t="s">
        <v>47</v>
      </c>
      <c r="L1907">
        <f t="shared" si="58"/>
        <v>2021</v>
      </c>
      <c r="M1907" t="str">
        <f t="shared" si="59"/>
        <v>COVID Period</v>
      </c>
    </row>
    <row r="1908" spans="1:13" x14ac:dyDescent="0.25">
      <c r="A1908" s="2">
        <v>44494</v>
      </c>
      <c r="B1908" t="s">
        <v>41</v>
      </c>
      <c r="C1908">
        <v>20</v>
      </c>
      <c r="D1908" s="3">
        <v>1.32</v>
      </c>
      <c r="E1908" s="3">
        <v>26.4</v>
      </c>
      <c r="F1908">
        <v>28</v>
      </c>
      <c r="G1908">
        <v>11</v>
      </c>
      <c r="H1908" s="4">
        <v>1.4</v>
      </c>
      <c r="I1908" t="s">
        <v>46</v>
      </c>
      <c r="J1908" t="s">
        <v>33</v>
      </c>
      <c r="K1908" t="s">
        <v>47</v>
      </c>
      <c r="L1908">
        <f t="shared" si="58"/>
        <v>2021</v>
      </c>
      <c r="M1908" t="str">
        <f t="shared" si="59"/>
        <v>COVID Period</v>
      </c>
    </row>
    <row r="1909" spans="1:13" x14ac:dyDescent="0.25">
      <c r="A1909" s="2">
        <v>44494</v>
      </c>
      <c r="B1909" t="s">
        <v>42</v>
      </c>
      <c r="C1909">
        <v>31</v>
      </c>
      <c r="D1909" s="3">
        <v>4.34</v>
      </c>
      <c r="E1909" s="3">
        <v>134.54</v>
      </c>
      <c r="F1909">
        <v>42</v>
      </c>
      <c r="G1909">
        <v>12</v>
      </c>
      <c r="H1909" s="4">
        <v>3.5</v>
      </c>
      <c r="I1909" t="s">
        <v>46</v>
      </c>
      <c r="J1909" t="s">
        <v>33</v>
      </c>
      <c r="K1909" t="s">
        <v>47</v>
      </c>
      <c r="L1909">
        <f t="shared" si="58"/>
        <v>2021</v>
      </c>
      <c r="M1909" t="str">
        <f t="shared" si="59"/>
        <v>COVID Period</v>
      </c>
    </row>
    <row r="1910" spans="1:13" x14ac:dyDescent="0.25">
      <c r="A1910" s="2">
        <v>44494</v>
      </c>
      <c r="B1910" t="s">
        <v>43</v>
      </c>
      <c r="C1910">
        <v>15</v>
      </c>
      <c r="D1910" s="3">
        <v>5.68</v>
      </c>
      <c r="E1910" s="3">
        <v>85.2</v>
      </c>
      <c r="F1910">
        <v>21</v>
      </c>
      <c r="G1910">
        <v>9</v>
      </c>
      <c r="H1910" s="4">
        <v>4.5</v>
      </c>
      <c r="I1910" t="s">
        <v>46</v>
      </c>
      <c r="J1910" t="s">
        <v>33</v>
      </c>
      <c r="L1910">
        <f t="shared" si="58"/>
        <v>2021</v>
      </c>
      <c r="M1910" t="str">
        <f t="shared" si="59"/>
        <v>COVID Period</v>
      </c>
    </row>
    <row r="1911" spans="1:13" x14ac:dyDescent="0.25">
      <c r="A1911" s="2">
        <v>44494</v>
      </c>
      <c r="B1911" t="s">
        <v>44</v>
      </c>
      <c r="C1911">
        <v>0</v>
      </c>
      <c r="D1911" s="3">
        <v>4.71</v>
      </c>
      <c r="E1911" s="3">
        <v>0</v>
      </c>
      <c r="F1911">
        <v>3</v>
      </c>
      <c r="G1911">
        <v>3</v>
      </c>
      <c r="H1911" s="4">
        <v>4.8</v>
      </c>
      <c r="I1911" t="s">
        <v>46</v>
      </c>
      <c r="J1911" t="s">
        <v>33</v>
      </c>
      <c r="K1911" t="s">
        <v>47</v>
      </c>
      <c r="L1911">
        <f t="shared" si="58"/>
        <v>2021</v>
      </c>
      <c r="M1911" t="str">
        <f t="shared" si="59"/>
        <v>COVID Period</v>
      </c>
    </row>
    <row r="1912" spans="1:13" x14ac:dyDescent="0.25">
      <c r="A1912" s="2">
        <v>44494</v>
      </c>
      <c r="B1912" t="s">
        <v>45</v>
      </c>
      <c r="C1912">
        <v>0</v>
      </c>
      <c r="D1912" s="3">
        <v>14.48</v>
      </c>
      <c r="E1912" s="3">
        <v>0</v>
      </c>
      <c r="F1912">
        <v>3</v>
      </c>
      <c r="G1912">
        <v>3</v>
      </c>
      <c r="H1912" s="4">
        <v>2.5</v>
      </c>
      <c r="I1912" t="s">
        <v>46</v>
      </c>
      <c r="J1912" t="s">
        <v>33</v>
      </c>
      <c r="L1912">
        <f t="shared" si="58"/>
        <v>2021</v>
      </c>
      <c r="M1912" t="str">
        <f t="shared" si="59"/>
        <v>COVID Period</v>
      </c>
    </row>
    <row r="1913" spans="1:13" x14ac:dyDescent="0.25">
      <c r="A1913" s="2">
        <v>44501</v>
      </c>
      <c r="B1913" t="s">
        <v>32</v>
      </c>
      <c r="C1913">
        <v>26</v>
      </c>
      <c r="D1913" s="3">
        <v>6.64</v>
      </c>
      <c r="E1913" s="3">
        <v>172.64</v>
      </c>
      <c r="F1913">
        <v>36</v>
      </c>
      <c r="G1913">
        <v>16</v>
      </c>
      <c r="H1913" s="4">
        <v>0.7</v>
      </c>
      <c r="I1913" t="s">
        <v>33</v>
      </c>
      <c r="J1913" t="s">
        <v>33</v>
      </c>
      <c r="L1913">
        <f t="shared" si="58"/>
        <v>2021</v>
      </c>
      <c r="M1913" t="str">
        <f t="shared" si="59"/>
        <v>COVID Period</v>
      </c>
    </row>
    <row r="1914" spans="1:13" x14ac:dyDescent="0.25">
      <c r="A1914" s="2">
        <v>44501</v>
      </c>
      <c r="B1914" t="s">
        <v>34</v>
      </c>
      <c r="C1914">
        <v>19</v>
      </c>
      <c r="D1914" s="3">
        <v>6.89</v>
      </c>
      <c r="E1914" s="3">
        <v>130.91</v>
      </c>
      <c r="F1914">
        <v>29</v>
      </c>
      <c r="G1914">
        <v>10</v>
      </c>
      <c r="H1914" s="4">
        <v>1.3</v>
      </c>
      <c r="I1914" t="s">
        <v>33</v>
      </c>
      <c r="J1914" t="s">
        <v>33</v>
      </c>
      <c r="L1914">
        <f t="shared" si="58"/>
        <v>2021</v>
      </c>
      <c r="M1914" t="str">
        <f t="shared" si="59"/>
        <v>COVID Period</v>
      </c>
    </row>
    <row r="1915" spans="1:13" x14ac:dyDescent="0.25">
      <c r="A1915" s="2">
        <v>44501</v>
      </c>
      <c r="B1915" t="s">
        <v>35</v>
      </c>
      <c r="C1915">
        <v>20</v>
      </c>
      <c r="D1915" s="3">
        <v>5.86</v>
      </c>
      <c r="E1915" s="3">
        <v>117.2</v>
      </c>
      <c r="F1915">
        <v>22</v>
      </c>
      <c r="G1915">
        <v>4</v>
      </c>
      <c r="H1915" s="4">
        <v>1.1000000000000001</v>
      </c>
      <c r="I1915" t="s">
        <v>46</v>
      </c>
      <c r="J1915" t="s">
        <v>33</v>
      </c>
      <c r="L1915">
        <f t="shared" si="58"/>
        <v>2021</v>
      </c>
      <c r="M1915" t="str">
        <f t="shared" si="59"/>
        <v>COVID Period</v>
      </c>
    </row>
    <row r="1916" spans="1:13" x14ac:dyDescent="0.25">
      <c r="A1916" s="2">
        <v>44501</v>
      </c>
      <c r="B1916" t="s">
        <v>36</v>
      </c>
      <c r="C1916">
        <v>15</v>
      </c>
      <c r="D1916" s="3">
        <v>6.06</v>
      </c>
      <c r="E1916" s="3">
        <v>90.9</v>
      </c>
      <c r="F1916">
        <v>24</v>
      </c>
      <c r="G1916">
        <v>12</v>
      </c>
      <c r="H1916" s="4">
        <v>3.2</v>
      </c>
      <c r="I1916" t="s">
        <v>33</v>
      </c>
      <c r="J1916" t="s">
        <v>33</v>
      </c>
      <c r="L1916">
        <f t="shared" si="58"/>
        <v>2021</v>
      </c>
      <c r="M1916" t="str">
        <f t="shared" si="59"/>
        <v>COVID Period</v>
      </c>
    </row>
    <row r="1917" spans="1:13" x14ac:dyDescent="0.25">
      <c r="A1917" s="2">
        <v>44501</v>
      </c>
      <c r="B1917" t="s">
        <v>37</v>
      </c>
      <c r="C1917">
        <v>44</v>
      </c>
      <c r="D1917" s="3">
        <v>3.1</v>
      </c>
      <c r="E1917" s="3">
        <v>136.4</v>
      </c>
      <c r="F1917">
        <v>55</v>
      </c>
      <c r="G1917">
        <v>16</v>
      </c>
      <c r="H1917" s="4">
        <v>1.6</v>
      </c>
      <c r="I1917" t="s">
        <v>33</v>
      </c>
      <c r="J1917" t="s">
        <v>33</v>
      </c>
      <c r="L1917">
        <f t="shared" si="58"/>
        <v>2021</v>
      </c>
      <c r="M1917" t="str">
        <f t="shared" si="59"/>
        <v>COVID Period</v>
      </c>
    </row>
    <row r="1918" spans="1:13" x14ac:dyDescent="0.25">
      <c r="A1918" s="2">
        <v>44501</v>
      </c>
      <c r="B1918" t="s">
        <v>38</v>
      </c>
      <c r="C1918">
        <v>19</v>
      </c>
      <c r="D1918" s="3">
        <v>8.76</v>
      </c>
      <c r="E1918" s="3">
        <v>166.44</v>
      </c>
      <c r="F1918">
        <v>22</v>
      </c>
      <c r="G1918">
        <v>7</v>
      </c>
      <c r="H1918" s="4">
        <v>1.5</v>
      </c>
      <c r="I1918" t="s">
        <v>33</v>
      </c>
      <c r="J1918" t="s">
        <v>33</v>
      </c>
      <c r="L1918">
        <f t="shared" si="58"/>
        <v>2021</v>
      </c>
      <c r="M1918" t="str">
        <f t="shared" si="59"/>
        <v>COVID Period</v>
      </c>
    </row>
    <row r="1919" spans="1:13" x14ac:dyDescent="0.25">
      <c r="A1919" s="2">
        <v>44501</v>
      </c>
      <c r="B1919" t="s">
        <v>39</v>
      </c>
      <c r="C1919">
        <v>41</v>
      </c>
      <c r="D1919" s="3">
        <v>11.48</v>
      </c>
      <c r="E1919" s="3">
        <v>470.68</v>
      </c>
      <c r="F1919">
        <v>53</v>
      </c>
      <c r="G1919">
        <v>20</v>
      </c>
      <c r="H1919" s="4">
        <v>0.8</v>
      </c>
      <c r="I1919" t="s">
        <v>46</v>
      </c>
      <c r="J1919" t="s">
        <v>33</v>
      </c>
      <c r="K1919" t="s">
        <v>48</v>
      </c>
      <c r="L1919">
        <f t="shared" si="58"/>
        <v>2021</v>
      </c>
      <c r="M1919" t="str">
        <f t="shared" si="59"/>
        <v>COVID Period</v>
      </c>
    </row>
    <row r="1920" spans="1:13" x14ac:dyDescent="0.25">
      <c r="A1920" s="2">
        <v>44501</v>
      </c>
      <c r="B1920" t="s">
        <v>40</v>
      </c>
      <c r="C1920">
        <v>28</v>
      </c>
      <c r="D1920" s="3">
        <v>0.63</v>
      </c>
      <c r="E1920" s="3">
        <v>17.64</v>
      </c>
      <c r="F1920">
        <v>42</v>
      </c>
      <c r="G1920">
        <v>21</v>
      </c>
      <c r="H1920" s="4">
        <v>2.4</v>
      </c>
      <c r="I1920" t="s">
        <v>46</v>
      </c>
      <c r="J1920" t="s">
        <v>33</v>
      </c>
      <c r="K1920" t="s">
        <v>47</v>
      </c>
      <c r="L1920">
        <f t="shared" si="58"/>
        <v>2021</v>
      </c>
      <c r="M1920" t="str">
        <f t="shared" si="59"/>
        <v>COVID Period</v>
      </c>
    </row>
    <row r="1921" spans="1:13" x14ac:dyDescent="0.25">
      <c r="A1921" s="2">
        <v>44501</v>
      </c>
      <c r="B1921" t="s">
        <v>41</v>
      </c>
      <c r="C1921">
        <v>18</v>
      </c>
      <c r="D1921" s="3">
        <v>1.4</v>
      </c>
      <c r="E1921" s="3">
        <v>25.2</v>
      </c>
      <c r="F1921">
        <v>29</v>
      </c>
      <c r="G1921">
        <v>16</v>
      </c>
      <c r="H1921" s="4">
        <v>3.1</v>
      </c>
      <c r="I1921" t="s">
        <v>46</v>
      </c>
      <c r="J1921" t="s">
        <v>33</v>
      </c>
      <c r="K1921" t="s">
        <v>47</v>
      </c>
      <c r="L1921">
        <f t="shared" si="58"/>
        <v>2021</v>
      </c>
      <c r="M1921" t="str">
        <f t="shared" si="59"/>
        <v>COVID Period</v>
      </c>
    </row>
    <row r="1922" spans="1:13" x14ac:dyDescent="0.25">
      <c r="A1922" s="2">
        <v>44501</v>
      </c>
      <c r="B1922" t="s">
        <v>42</v>
      </c>
      <c r="C1922">
        <v>21</v>
      </c>
      <c r="D1922" s="3">
        <v>4.1100000000000003</v>
      </c>
      <c r="E1922" s="3">
        <v>86.31</v>
      </c>
      <c r="F1922">
        <v>26</v>
      </c>
      <c r="G1922">
        <v>7</v>
      </c>
      <c r="H1922" s="4">
        <v>3.1</v>
      </c>
      <c r="I1922" t="s">
        <v>46</v>
      </c>
      <c r="J1922" t="s">
        <v>33</v>
      </c>
      <c r="K1922" t="s">
        <v>47</v>
      </c>
      <c r="L1922">
        <f t="shared" ref="L1922:L1985" si="60">YEAR(A1922)</f>
        <v>2021</v>
      </c>
      <c r="M1922" t="str">
        <f t="shared" ref="M1922:M1985" si="61">IF(L1922=2019,"Pre-COVID","COVID Period")</f>
        <v>COVID Period</v>
      </c>
    </row>
    <row r="1923" spans="1:13" x14ac:dyDescent="0.25">
      <c r="A1923" s="2">
        <v>44501</v>
      </c>
      <c r="B1923" t="s">
        <v>43</v>
      </c>
      <c r="C1923">
        <v>5</v>
      </c>
      <c r="D1923" s="3">
        <v>5.33</v>
      </c>
      <c r="E1923" s="3">
        <v>26.65</v>
      </c>
      <c r="F1923">
        <v>7</v>
      </c>
      <c r="G1923">
        <v>2</v>
      </c>
      <c r="H1923" s="4">
        <v>1.6</v>
      </c>
      <c r="I1923" t="s">
        <v>46</v>
      </c>
      <c r="J1923" t="s">
        <v>33</v>
      </c>
      <c r="L1923">
        <f t="shared" si="60"/>
        <v>2021</v>
      </c>
      <c r="M1923" t="str">
        <f t="shared" si="61"/>
        <v>COVID Period</v>
      </c>
    </row>
    <row r="1924" spans="1:13" x14ac:dyDescent="0.25">
      <c r="A1924" s="2">
        <v>44501</v>
      </c>
      <c r="B1924" t="s">
        <v>44</v>
      </c>
      <c r="C1924">
        <v>2</v>
      </c>
      <c r="D1924" s="3">
        <v>4.72</v>
      </c>
      <c r="E1924" s="3">
        <v>9.44</v>
      </c>
      <c r="F1924">
        <v>3</v>
      </c>
      <c r="G1924">
        <v>1</v>
      </c>
      <c r="H1924" s="4">
        <v>1.7</v>
      </c>
      <c r="I1924" t="s">
        <v>46</v>
      </c>
      <c r="J1924" t="s">
        <v>46</v>
      </c>
      <c r="K1924" t="s">
        <v>47</v>
      </c>
      <c r="L1924">
        <f t="shared" si="60"/>
        <v>2021</v>
      </c>
      <c r="M1924" t="str">
        <f t="shared" si="61"/>
        <v>COVID Period</v>
      </c>
    </row>
    <row r="1925" spans="1:13" x14ac:dyDescent="0.25">
      <c r="A1925" s="2">
        <v>44501</v>
      </c>
      <c r="B1925" t="s">
        <v>45</v>
      </c>
      <c r="C1925">
        <v>0</v>
      </c>
      <c r="D1925" s="3">
        <v>14.99</v>
      </c>
      <c r="E1925" s="3">
        <v>0</v>
      </c>
      <c r="F1925">
        <v>3</v>
      </c>
      <c r="G1925">
        <v>3</v>
      </c>
      <c r="H1925" s="4">
        <v>2.2999999999999998</v>
      </c>
      <c r="I1925" t="s">
        <v>46</v>
      </c>
      <c r="J1925" t="s">
        <v>33</v>
      </c>
      <c r="L1925">
        <f t="shared" si="60"/>
        <v>2021</v>
      </c>
      <c r="M1925" t="str">
        <f t="shared" si="61"/>
        <v>COVID Period</v>
      </c>
    </row>
    <row r="1926" spans="1:13" x14ac:dyDescent="0.25">
      <c r="A1926" s="2">
        <v>44508</v>
      </c>
      <c r="B1926" t="s">
        <v>32</v>
      </c>
      <c r="C1926">
        <v>20</v>
      </c>
      <c r="D1926" s="3">
        <v>6.56</v>
      </c>
      <c r="E1926" s="3">
        <v>131.19999999999999</v>
      </c>
      <c r="F1926">
        <v>24</v>
      </c>
      <c r="G1926">
        <v>8</v>
      </c>
      <c r="H1926" s="4">
        <v>1.3</v>
      </c>
      <c r="I1926" t="s">
        <v>33</v>
      </c>
      <c r="J1926" t="s">
        <v>33</v>
      </c>
      <c r="L1926">
        <f t="shared" si="60"/>
        <v>2021</v>
      </c>
      <c r="M1926" t="str">
        <f t="shared" si="61"/>
        <v>COVID Period</v>
      </c>
    </row>
    <row r="1927" spans="1:13" x14ac:dyDescent="0.25">
      <c r="A1927" s="2">
        <v>44508</v>
      </c>
      <c r="B1927" t="s">
        <v>34</v>
      </c>
      <c r="C1927">
        <v>22</v>
      </c>
      <c r="D1927" s="3">
        <v>6.9</v>
      </c>
      <c r="E1927" s="3">
        <v>151.80000000000001</v>
      </c>
      <c r="F1927">
        <v>32</v>
      </c>
      <c r="G1927">
        <v>13</v>
      </c>
      <c r="H1927" s="4">
        <v>2.6</v>
      </c>
      <c r="I1927" t="s">
        <v>33</v>
      </c>
      <c r="J1927" t="s">
        <v>33</v>
      </c>
      <c r="L1927">
        <f t="shared" si="60"/>
        <v>2021</v>
      </c>
      <c r="M1927" t="str">
        <f t="shared" si="61"/>
        <v>COVID Period</v>
      </c>
    </row>
    <row r="1928" spans="1:13" x14ac:dyDescent="0.25">
      <c r="A1928" s="2">
        <v>44508</v>
      </c>
      <c r="B1928" t="s">
        <v>35</v>
      </c>
      <c r="C1928">
        <v>14</v>
      </c>
      <c r="D1928" s="3">
        <v>5.85</v>
      </c>
      <c r="E1928" s="3">
        <v>81.900000000000006</v>
      </c>
      <c r="F1928">
        <v>21</v>
      </c>
      <c r="G1928">
        <v>8</v>
      </c>
      <c r="H1928" s="4">
        <v>2</v>
      </c>
      <c r="I1928" t="s">
        <v>33</v>
      </c>
      <c r="J1928" t="s">
        <v>33</v>
      </c>
      <c r="L1928">
        <f t="shared" si="60"/>
        <v>2021</v>
      </c>
      <c r="M1928" t="str">
        <f t="shared" si="61"/>
        <v>COVID Period</v>
      </c>
    </row>
    <row r="1929" spans="1:13" x14ac:dyDescent="0.25">
      <c r="A1929" s="2">
        <v>44508</v>
      </c>
      <c r="B1929" t="s">
        <v>36</v>
      </c>
      <c r="C1929">
        <v>19</v>
      </c>
      <c r="D1929" s="3">
        <v>6.24</v>
      </c>
      <c r="E1929" s="3">
        <v>118.56</v>
      </c>
      <c r="F1929">
        <v>30</v>
      </c>
      <c r="G1929">
        <v>12</v>
      </c>
      <c r="H1929" s="4">
        <v>3.2</v>
      </c>
      <c r="I1929" t="s">
        <v>33</v>
      </c>
      <c r="J1929" t="s">
        <v>33</v>
      </c>
      <c r="L1929">
        <f t="shared" si="60"/>
        <v>2021</v>
      </c>
      <c r="M1929" t="str">
        <f t="shared" si="61"/>
        <v>COVID Period</v>
      </c>
    </row>
    <row r="1930" spans="1:13" x14ac:dyDescent="0.25">
      <c r="A1930" s="2">
        <v>44508</v>
      </c>
      <c r="B1930" t="s">
        <v>37</v>
      </c>
      <c r="C1930">
        <v>33</v>
      </c>
      <c r="D1930" s="3">
        <v>3.19</v>
      </c>
      <c r="E1930" s="3">
        <v>105.27</v>
      </c>
      <c r="F1930">
        <v>52</v>
      </c>
      <c r="G1930">
        <v>20</v>
      </c>
      <c r="H1930" s="4">
        <v>1.1000000000000001</v>
      </c>
      <c r="I1930" t="s">
        <v>33</v>
      </c>
      <c r="J1930" t="s">
        <v>33</v>
      </c>
      <c r="L1930">
        <f t="shared" si="60"/>
        <v>2021</v>
      </c>
      <c r="M1930" t="str">
        <f t="shared" si="61"/>
        <v>COVID Period</v>
      </c>
    </row>
    <row r="1931" spans="1:13" x14ac:dyDescent="0.25">
      <c r="A1931" s="2">
        <v>44508</v>
      </c>
      <c r="B1931" t="s">
        <v>38</v>
      </c>
      <c r="C1931">
        <v>15</v>
      </c>
      <c r="D1931" s="3">
        <v>8.7899999999999991</v>
      </c>
      <c r="E1931" s="3">
        <v>131.85</v>
      </c>
      <c r="F1931">
        <v>22</v>
      </c>
      <c r="G1931">
        <v>8</v>
      </c>
      <c r="H1931" s="4">
        <v>1.3</v>
      </c>
      <c r="I1931" t="s">
        <v>33</v>
      </c>
      <c r="J1931" t="s">
        <v>33</v>
      </c>
      <c r="L1931">
        <f t="shared" si="60"/>
        <v>2021</v>
      </c>
      <c r="M1931" t="str">
        <f t="shared" si="61"/>
        <v>COVID Period</v>
      </c>
    </row>
    <row r="1932" spans="1:13" x14ac:dyDescent="0.25">
      <c r="A1932" s="2">
        <v>44508</v>
      </c>
      <c r="B1932" t="s">
        <v>39</v>
      </c>
      <c r="C1932">
        <v>37</v>
      </c>
      <c r="D1932" s="3">
        <v>11.15</v>
      </c>
      <c r="E1932" s="3">
        <v>412.55</v>
      </c>
      <c r="F1932">
        <v>55</v>
      </c>
      <c r="G1932">
        <v>25</v>
      </c>
      <c r="H1932" s="4">
        <v>2.5</v>
      </c>
      <c r="I1932" t="s">
        <v>46</v>
      </c>
      <c r="J1932" t="s">
        <v>33</v>
      </c>
      <c r="K1932" t="s">
        <v>48</v>
      </c>
      <c r="L1932">
        <f t="shared" si="60"/>
        <v>2021</v>
      </c>
      <c r="M1932" t="str">
        <f t="shared" si="61"/>
        <v>COVID Period</v>
      </c>
    </row>
    <row r="1933" spans="1:13" x14ac:dyDescent="0.25">
      <c r="A1933" s="2">
        <v>44508</v>
      </c>
      <c r="B1933" t="s">
        <v>40</v>
      </c>
      <c r="C1933">
        <v>22</v>
      </c>
      <c r="D1933" s="3">
        <v>0.67</v>
      </c>
      <c r="E1933" s="3">
        <v>14.74</v>
      </c>
      <c r="F1933">
        <v>33</v>
      </c>
      <c r="G1933">
        <v>11</v>
      </c>
      <c r="H1933" s="4">
        <v>1.3</v>
      </c>
      <c r="I1933" t="s">
        <v>46</v>
      </c>
      <c r="J1933" t="s">
        <v>33</v>
      </c>
      <c r="K1933" t="s">
        <v>47</v>
      </c>
      <c r="L1933">
        <f t="shared" si="60"/>
        <v>2021</v>
      </c>
      <c r="M1933" t="str">
        <f t="shared" si="61"/>
        <v>COVID Period</v>
      </c>
    </row>
    <row r="1934" spans="1:13" x14ac:dyDescent="0.25">
      <c r="A1934" s="2">
        <v>44508</v>
      </c>
      <c r="B1934" t="s">
        <v>41</v>
      </c>
      <c r="C1934">
        <v>20</v>
      </c>
      <c r="D1934" s="3">
        <v>1.41</v>
      </c>
      <c r="E1934" s="3">
        <v>28.2</v>
      </c>
      <c r="F1934">
        <v>32</v>
      </c>
      <c r="G1934">
        <v>16</v>
      </c>
      <c r="H1934" s="4">
        <v>3.1</v>
      </c>
      <c r="I1934" t="s">
        <v>46</v>
      </c>
      <c r="J1934" t="s">
        <v>33</v>
      </c>
      <c r="K1934" t="s">
        <v>47</v>
      </c>
      <c r="L1934">
        <f t="shared" si="60"/>
        <v>2021</v>
      </c>
      <c r="M1934" t="str">
        <f t="shared" si="61"/>
        <v>COVID Period</v>
      </c>
    </row>
    <row r="1935" spans="1:13" x14ac:dyDescent="0.25">
      <c r="A1935" s="2">
        <v>44508</v>
      </c>
      <c r="B1935" t="s">
        <v>42</v>
      </c>
      <c r="C1935">
        <v>31</v>
      </c>
      <c r="D1935" s="3">
        <v>4.13</v>
      </c>
      <c r="E1935" s="3">
        <v>128.03</v>
      </c>
      <c r="F1935">
        <v>39</v>
      </c>
      <c r="G1935">
        <v>11</v>
      </c>
      <c r="H1935" s="4">
        <v>3.7</v>
      </c>
      <c r="I1935" t="s">
        <v>46</v>
      </c>
      <c r="J1935" t="s">
        <v>33</v>
      </c>
      <c r="K1935" t="s">
        <v>47</v>
      </c>
      <c r="L1935">
        <f t="shared" si="60"/>
        <v>2021</v>
      </c>
      <c r="M1935" t="str">
        <f t="shared" si="61"/>
        <v>COVID Period</v>
      </c>
    </row>
    <row r="1936" spans="1:13" x14ac:dyDescent="0.25">
      <c r="A1936" s="2">
        <v>44508</v>
      </c>
      <c r="B1936" t="s">
        <v>43</v>
      </c>
      <c r="C1936">
        <v>14</v>
      </c>
      <c r="D1936" s="3">
        <v>5.77</v>
      </c>
      <c r="E1936" s="3">
        <v>80.78</v>
      </c>
      <c r="F1936">
        <v>20</v>
      </c>
      <c r="G1936">
        <v>9</v>
      </c>
      <c r="H1936" s="4">
        <v>2.6</v>
      </c>
      <c r="I1936" t="s">
        <v>46</v>
      </c>
      <c r="J1936" t="s">
        <v>33</v>
      </c>
      <c r="L1936">
        <f t="shared" si="60"/>
        <v>2021</v>
      </c>
      <c r="M1936" t="str">
        <f t="shared" si="61"/>
        <v>COVID Period</v>
      </c>
    </row>
    <row r="1937" spans="1:13" x14ac:dyDescent="0.25">
      <c r="A1937" s="2">
        <v>44508</v>
      </c>
      <c r="B1937" t="s">
        <v>44</v>
      </c>
      <c r="C1937">
        <v>1</v>
      </c>
      <c r="D1937" s="3">
        <v>4.7300000000000004</v>
      </c>
      <c r="E1937" s="3">
        <v>4.7300000000000004</v>
      </c>
      <c r="F1937">
        <v>3</v>
      </c>
      <c r="G1937">
        <v>2</v>
      </c>
      <c r="H1937" s="4">
        <v>4.3</v>
      </c>
      <c r="I1937" t="s">
        <v>46</v>
      </c>
      <c r="J1937" t="s">
        <v>33</v>
      </c>
      <c r="K1937" t="s">
        <v>47</v>
      </c>
      <c r="L1937">
        <f t="shared" si="60"/>
        <v>2021</v>
      </c>
      <c r="M1937" t="str">
        <f t="shared" si="61"/>
        <v>COVID Period</v>
      </c>
    </row>
    <row r="1938" spans="1:13" x14ac:dyDescent="0.25">
      <c r="A1938" s="2">
        <v>44508</v>
      </c>
      <c r="B1938" t="s">
        <v>45</v>
      </c>
      <c r="C1938">
        <v>2</v>
      </c>
      <c r="D1938" s="3">
        <v>14.7</v>
      </c>
      <c r="E1938" s="3">
        <v>29.4</v>
      </c>
      <c r="F1938">
        <v>3</v>
      </c>
      <c r="G1938">
        <v>1</v>
      </c>
      <c r="H1938" s="4">
        <v>2.7</v>
      </c>
      <c r="I1938" t="s">
        <v>46</v>
      </c>
      <c r="J1938" t="s">
        <v>33</v>
      </c>
      <c r="L1938">
        <f t="shared" si="60"/>
        <v>2021</v>
      </c>
      <c r="M1938" t="str">
        <f t="shared" si="61"/>
        <v>COVID Period</v>
      </c>
    </row>
    <row r="1939" spans="1:13" x14ac:dyDescent="0.25">
      <c r="A1939" s="2">
        <v>44515</v>
      </c>
      <c r="B1939" t="s">
        <v>32</v>
      </c>
      <c r="C1939">
        <v>27</v>
      </c>
      <c r="D1939" s="3">
        <v>6.65</v>
      </c>
      <c r="E1939" s="3">
        <v>179.55</v>
      </c>
      <c r="F1939">
        <v>28</v>
      </c>
      <c r="G1939">
        <v>4</v>
      </c>
      <c r="H1939" s="4">
        <v>1.7</v>
      </c>
      <c r="I1939" t="s">
        <v>33</v>
      </c>
      <c r="J1939" t="s">
        <v>33</v>
      </c>
      <c r="L1939">
        <f t="shared" si="60"/>
        <v>2021</v>
      </c>
      <c r="M1939" t="str">
        <f t="shared" si="61"/>
        <v>COVID Period</v>
      </c>
    </row>
    <row r="1940" spans="1:13" x14ac:dyDescent="0.25">
      <c r="A1940" s="2">
        <v>44515</v>
      </c>
      <c r="B1940" t="s">
        <v>34</v>
      </c>
      <c r="C1940">
        <v>31</v>
      </c>
      <c r="D1940" s="3">
        <v>7.04</v>
      </c>
      <c r="E1940" s="3">
        <v>218.24</v>
      </c>
      <c r="F1940">
        <v>36</v>
      </c>
      <c r="G1940">
        <v>7</v>
      </c>
      <c r="H1940" s="4">
        <v>1.3</v>
      </c>
      <c r="I1940" t="s">
        <v>46</v>
      </c>
      <c r="J1940" t="s">
        <v>33</v>
      </c>
      <c r="L1940">
        <f t="shared" si="60"/>
        <v>2021</v>
      </c>
      <c r="M1940" t="str">
        <f t="shared" si="61"/>
        <v>COVID Period</v>
      </c>
    </row>
    <row r="1941" spans="1:13" x14ac:dyDescent="0.25">
      <c r="A1941" s="2">
        <v>44515</v>
      </c>
      <c r="B1941" t="s">
        <v>35</v>
      </c>
      <c r="C1941">
        <v>11</v>
      </c>
      <c r="D1941" s="3">
        <v>6</v>
      </c>
      <c r="E1941" s="3">
        <v>66</v>
      </c>
      <c r="F1941">
        <v>13</v>
      </c>
      <c r="G1941">
        <v>4</v>
      </c>
      <c r="H1941" s="4">
        <v>2.5</v>
      </c>
      <c r="I1941" t="s">
        <v>33</v>
      </c>
      <c r="J1941" t="s">
        <v>33</v>
      </c>
      <c r="L1941">
        <f t="shared" si="60"/>
        <v>2021</v>
      </c>
      <c r="M1941" t="str">
        <f t="shared" si="61"/>
        <v>COVID Period</v>
      </c>
    </row>
    <row r="1942" spans="1:13" x14ac:dyDescent="0.25">
      <c r="A1942" s="2">
        <v>44515</v>
      </c>
      <c r="B1942" t="s">
        <v>36</v>
      </c>
      <c r="C1942">
        <v>15</v>
      </c>
      <c r="D1942" s="3">
        <v>6.09</v>
      </c>
      <c r="E1942" s="3">
        <v>91.35</v>
      </c>
      <c r="F1942">
        <v>21</v>
      </c>
      <c r="G1942">
        <v>7</v>
      </c>
      <c r="H1942" s="4">
        <v>0.7</v>
      </c>
      <c r="I1942" t="s">
        <v>33</v>
      </c>
      <c r="J1942" t="s">
        <v>33</v>
      </c>
      <c r="L1942">
        <f t="shared" si="60"/>
        <v>2021</v>
      </c>
      <c r="M1942" t="str">
        <f t="shared" si="61"/>
        <v>COVID Period</v>
      </c>
    </row>
    <row r="1943" spans="1:13" x14ac:dyDescent="0.25">
      <c r="A1943" s="2">
        <v>44515</v>
      </c>
      <c r="B1943" t="s">
        <v>37</v>
      </c>
      <c r="C1943">
        <v>33</v>
      </c>
      <c r="D1943" s="3">
        <v>3.33</v>
      </c>
      <c r="E1943" s="3">
        <v>109.89</v>
      </c>
      <c r="F1943">
        <v>44</v>
      </c>
      <c r="G1943">
        <v>15</v>
      </c>
      <c r="H1943" s="4">
        <v>0.8</v>
      </c>
      <c r="I1943" t="s">
        <v>33</v>
      </c>
      <c r="J1943" t="s">
        <v>33</v>
      </c>
      <c r="L1943">
        <f t="shared" si="60"/>
        <v>2021</v>
      </c>
      <c r="M1943" t="str">
        <f t="shared" si="61"/>
        <v>COVID Period</v>
      </c>
    </row>
    <row r="1944" spans="1:13" x14ac:dyDescent="0.25">
      <c r="A1944" s="2">
        <v>44515</v>
      </c>
      <c r="B1944" t="s">
        <v>38</v>
      </c>
      <c r="C1944">
        <v>17</v>
      </c>
      <c r="D1944" s="3">
        <v>8.76</v>
      </c>
      <c r="E1944" s="3">
        <v>148.91999999999999</v>
      </c>
      <c r="F1944">
        <v>20</v>
      </c>
      <c r="G1944">
        <v>4</v>
      </c>
      <c r="H1944" s="4">
        <v>2.2000000000000002</v>
      </c>
      <c r="I1944" t="s">
        <v>33</v>
      </c>
      <c r="J1944" t="s">
        <v>33</v>
      </c>
      <c r="L1944">
        <f t="shared" si="60"/>
        <v>2021</v>
      </c>
      <c r="M1944" t="str">
        <f t="shared" si="61"/>
        <v>COVID Period</v>
      </c>
    </row>
    <row r="1945" spans="1:13" x14ac:dyDescent="0.25">
      <c r="A1945" s="2">
        <v>44515</v>
      </c>
      <c r="B1945" t="s">
        <v>39</v>
      </c>
      <c r="C1945">
        <v>32</v>
      </c>
      <c r="D1945" s="3">
        <v>11.58</v>
      </c>
      <c r="E1945" s="3">
        <v>370.56</v>
      </c>
      <c r="F1945">
        <v>46</v>
      </c>
      <c r="G1945">
        <v>18</v>
      </c>
      <c r="H1945" s="4">
        <v>2.8</v>
      </c>
      <c r="I1945" t="s">
        <v>46</v>
      </c>
      <c r="J1945" t="s">
        <v>33</v>
      </c>
      <c r="K1945" t="s">
        <v>48</v>
      </c>
      <c r="L1945">
        <f t="shared" si="60"/>
        <v>2021</v>
      </c>
      <c r="M1945" t="str">
        <f t="shared" si="61"/>
        <v>COVID Period</v>
      </c>
    </row>
    <row r="1946" spans="1:13" x14ac:dyDescent="0.25">
      <c r="A1946" s="2">
        <v>44515</v>
      </c>
      <c r="B1946" t="s">
        <v>40</v>
      </c>
      <c r="C1946">
        <v>20</v>
      </c>
      <c r="D1946" s="3">
        <v>0.63</v>
      </c>
      <c r="E1946" s="3">
        <v>12.6</v>
      </c>
      <c r="F1946">
        <v>29</v>
      </c>
      <c r="G1946">
        <v>11</v>
      </c>
      <c r="H1946" s="4">
        <v>1.5</v>
      </c>
      <c r="I1946" t="s">
        <v>46</v>
      </c>
      <c r="J1946" t="s">
        <v>33</v>
      </c>
      <c r="K1946" t="s">
        <v>47</v>
      </c>
      <c r="L1946">
        <f t="shared" si="60"/>
        <v>2021</v>
      </c>
      <c r="M1946" t="str">
        <f t="shared" si="61"/>
        <v>COVID Period</v>
      </c>
    </row>
    <row r="1947" spans="1:13" x14ac:dyDescent="0.25">
      <c r="A1947" s="2">
        <v>44515</v>
      </c>
      <c r="B1947" t="s">
        <v>41</v>
      </c>
      <c r="C1947">
        <v>9</v>
      </c>
      <c r="D1947" s="3">
        <v>1.36</v>
      </c>
      <c r="E1947" s="3">
        <v>12.24</v>
      </c>
      <c r="F1947">
        <v>14</v>
      </c>
      <c r="G1947">
        <v>6</v>
      </c>
      <c r="H1947" s="4">
        <v>1.9</v>
      </c>
      <c r="I1947" t="s">
        <v>46</v>
      </c>
      <c r="J1947" t="s">
        <v>33</v>
      </c>
      <c r="K1947" t="s">
        <v>47</v>
      </c>
      <c r="L1947">
        <f t="shared" si="60"/>
        <v>2021</v>
      </c>
      <c r="M1947" t="str">
        <f t="shared" si="61"/>
        <v>COVID Period</v>
      </c>
    </row>
    <row r="1948" spans="1:13" x14ac:dyDescent="0.25">
      <c r="A1948" s="2">
        <v>44515</v>
      </c>
      <c r="B1948" t="s">
        <v>42</v>
      </c>
      <c r="C1948">
        <v>27</v>
      </c>
      <c r="D1948" s="3">
        <v>4.38</v>
      </c>
      <c r="E1948" s="3">
        <v>118.26</v>
      </c>
      <c r="F1948">
        <v>34</v>
      </c>
      <c r="G1948">
        <v>9</v>
      </c>
      <c r="H1948" s="4">
        <v>2.2000000000000002</v>
      </c>
      <c r="I1948" t="s">
        <v>46</v>
      </c>
      <c r="J1948" t="s">
        <v>33</v>
      </c>
      <c r="K1948" t="s">
        <v>47</v>
      </c>
      <c r="L1948">
        <f t="shared" si="60"/>
        <v>2021</v>
      </c>
      <c r="M1948" t="str">
        <f t="shared" si="61"/>
        <v>COVID Period</v>
      </c>
    </row>
    <row r="1949" spans="1:13" x14ac:dyDescent="0.25">
      <c r="A1949" s="2">
        <v>44515</v>
      </c>
      <c r="B1949" t="s">
        <v>43</v>
      </c>
      <c r="C1949">
        <v>14</v>
      </c>
      <c r="D1949" s="3">
        <v>5.55</v>
      </c>
      <c r="E1949" s="3">
        <v>77.7</v>
      </c>
      <c r="F1949">
        <v>15</v>
      </c>
      <c r="G1949">
        <v>3</v>
      </c>
      <c r="H1949" s="4">
        <v>2</v>
      </c>
      <c r="I1949" t="s">
        <v>46</v>
      </c>
      <c r="J1949" t="s">
        <v>33</v>
      </c>
      <c r="L1949">
        <f t="shared" si="60"/>
        <v>2021</v>
      </c>
      <c r="M1949" t="str">
        <f t="shared" si="61"/>
        <v>COVID Period</v>
      </c>
    </row>
    <row r="1950" spans="1:13" x14ac:dyDescent="0.25">
      <c r="A1950" s="2">
        <v>44515</v>
      </c>
      <c r="B1950" t="s">
        <v>44</v>
      </c>
      <c r="C1950">
        <v>0</v>
      </c>
      <c r="D1950" s="3">
        <v>4.6900000000000004</v>
      </c>
      <c r="E1950" s="3">
        <v>0</v>
      </c>
      <c r="F1950">
        <v>3</v>
      </c>
      <c r="G1950">
        <v>4</v>
      </c>
      <c r="H1950" s="4">
        <v>2.1</v>
      </c>
      <c r="I1950" t="s">
        <v>46</v>
      </c>
      <c r="J1950" t="s">
        <v>33</v>
      </c>
      <c r="K1950" t="s">
        <v>47</v>
      </c>
      <c r="L1950">
        <f t="shared" si="60"/>
        <v>2021</v>
      </c>
      <c r="M1950" t="str">
        <f t="shared" si="61"/>
        <v>COVID Period</v>
      </c>
    </row>
    <row r="1951" spans="1:13" x14ac:dyDescent="0.25">
      <c r="A1951" s="2">
        <v>44515</v>
      </c>
      <c r="B1951" t="s">
        <v>45</v>
      </c>
      <c r="C1951">
        <v>0</v>
      </c>
      <c r="D1951" s="3">
        <v>15.32</v>
      </c>
      <c r="E1951" s="3">
        <v>0</v>
      </c>
      <c r="F1951">
        <v>3</v>
      </c>
      <c r="G1951">
        <v>3</v>
      </c>
      <c r="H1951" s="4">
        <v>2.2000000000000002</v>
      </c>
      <c r="I1951" t="s">
        <v>46</v>
      </c>
      <c r="J1951" t="s">
        <v>33</v>
      </c>
      <c r="L1951">
        <f t="shared" si="60"/>
        <v>2021</v>
      </c>
      <c r="M1951" t="str">
        <f t="shared" si="61"/>
        <v>COVID Period</v>
      </c>
    </row>
    <row r="1952" spans="1:13" x14ac:dyDescent="0.25">
      <c r="A1952" s="2">
        <v>44522</v>
      </c>
      <c r="B1952" t="s">
        <v>32</v>
      </c>
      <c r="C1952">
        <v>30</v>
      </c>
      <c r="D1952" s="3">
        <v>6.73</v>
      </c>
      <c r="E1952" s="3">
        <v>201.9</v>
      </c>
      <c r="F1952">
        <v>48</v>
      </c>
      <c r="G1952">
        <v>25</v>
      </c>
      <c r="H1952" s="4">
        <v>0</v>
      </c>
      <c r="I1952" t="s">
        <v>33</v>
      </c>
      <c r="J1952" t="s">
        <v>33</v>
      </c>
      <c r="L1952">
        <f t="shared" si="60"/>
        <v>2021</v>
      </c>
      <c r="M1952" t="str">
        <f t="shared" si="61"/>
        <v>COVID Period</v>
      </c>
    </row>
    <row r="1953" spans="1:13" x14ac:dyDescent="0.25">
      <c r="A1953" s="2">
        <v>44522</v>
      </c>
      <c r="B1953" t="s">
        <v>34</v>
      </c>
      <c r="C1953">
        <v>20</v>
      </c>
      <c r="D1953" s="3">
        <v>7.38</v>
      </c>
      <c r="E1953" s="3">
        <v>147.6</v>
      </c>
      <c r="F1953">
        <v>28</v>
      </c>
      <c r="G1953">
        <v>13</v>
      </c>
      <c r="H1953" s="4">
        <v>2.2000000000000002</v>
      </c>
      <c r="I1953" t="s">
        <v>33</v>
      </c>
      <c r="J1953" t="s">
        <v>33</v>
      </c>
      <c r="L1953">
        <f t="shared" si="60"/>
        <v>2021</v>
      </c>
      <c r="M1953" t="str">
        <f t="shared" si="61"/>
        <v>COVID Period</v>
      </c>
    </row>
    <row r="1954" spans="1:13" x14ac:dyDescent="0.25">
      <c r="A1954" s="2">
        <v>44522</v>
      </c>
      <c r="B1954" t="s">
        <v>35</v>
      </c>
      <c r="C1954">
        <v>18</v>
      </c>
      <c r="D1954" s="3">
        <v>5.89</v>
      </c>
      <c r="E1954" s="3">
        <v>106.02</v>
      </c>
      <c r="F1954">
        <v>26</v>
      </c>
      <c r="G1954">
        <v>12</v>
      </c>
      <c r="H1954" s="4">
        <v>0.4</v>
      </c>
      <c r="I1954" t="s">
        <v>33</v>
      </c>
      <c r="J1954" t="s">
        <v>33</v>
      </c>
      <c r="L1954">
        <f t="shared" si="60"/>
        <v>2021</v>
      </c>
      <c r="M1954" t="str">
        <f t="shared" si="61"/>
        <v>COVID Period</v>
      </c>
    </row>
    <row r="1955" spans="1:13" x14ac:dyDescent="0.25">
      <c r="A1955" s="2">
        <v>44522</v>
      </c>
      <c r="B1955" t="s">
        <v>36</v>
      </c>
      <c r="C1955">
        <v>15</v>
      </c>
      <c r="D1955" s="3">
        <v>6.29</v>
      </c>
      <c r="E1955" s="3">
        <v>94.35</v>
      </c>
      <c r="F1955">
        <v>16</v>
      </c>
      <c r="G1955">
        <v>1</v>
      </c>
      <c r="H1955" s="4">
        <v>1.1000000000000001</v>
      </c>
      <c r="I1955" t="s">
        <v>33</v>
      </c>
      <c r="J1955" t="s">
        <v>33</v>
      </c>
      <c r="L1955">
        <f t="shared" si="60"/>
        <v>2021</v>
      </c>
      <c r="M1955" t="str">
        <f t="shared" si="61"/>
        <v>COVID Period</v>
      </c>
    </row>
    <row r="1956" spans="1:13" x14ac:dyDescent="0.25">
      <c r="A1956" s="2">
        <v>44522</v>
      </c>
      <c r="B1956" t="s">
        <v>37</v>
      </c>
      <c r="C1956">
        <v>45</v>
      </c>
      <c r="D1956" s="3">
        <v>3.31</v>
      </c>
      <c r="E1956" s="3">
        <v>148.94999999999999</v>
      </c>
      <c r="F1956">
        <v>50</v>
      </c>
      <c r="G1956">
        <v>12</v>
      </c>
      <c r="H1956" s="4">
        <v>2.8</v>
      </c>
      <c r="I1956" t="s">
        <v>33</v>
      </c>
      <c r="J1956" t="s">
        <v>33</v>
      </c>
      <c r="L1956">
        <f t="shared" si="60"/>
        <v>2021</v>
      </c>
      <c r="M1956" t="str">
        <f t="shared" si="61"/>
        <v>COVID Period</v>
      </c>
    </row>
    <row r="1957" spans="1:13" x14ac:dyDescent="0.25">
      <c r="A1957" s="2">
        <v>44522</v>
      </c>
      <c r="B1957" t="s">
        <v>38</v>
      </c>
      <c r="C1957">
        <v>14</v>
      </c>
      <c r="D1957" s="3">
        <v>8.19</v>
      </c>
      <c r="E1957" s="3">
        <v>114.66</v>
      </c>
      <c r="F1957">
        <v>17</v>
      </c>
      <c r="G1957">
        <v>6</v>
      </c>
      <c r="H1957" s="4">
        <v>2.1</v>
      </c>
      <c r="I1957" t="s">
        <v>33</v>
      </c>
      <c r="J1957" t="s">
        <v>33</v>
      </c>
      <c r="L1957">
        <f t="shared" si="60"/>
        <v>2021</v>
      </c>
      <c r="M1957" t="str">
        <f t="shared" si="61"/>
        <v>COVID Period</v>
      </c>
    </row>
    <row r="1958" spans="1:13" x14ac:dyDescent="0.25">
      <c r="A1958" s="2">
        <v>44522</v>
      </c>
      <c r="B1958" t="s">
        <v>39</v>
      </c>
      <c r="C1958">
        <v>27</v>
      </c>
      <c r="D1958" s="3">
        <v>11.66</v>
      </c>
      <c r="E1958" s="3">
        <v>314.82</v>
      </c>
      <c r="F1958">
        <v>33</v>
      </c>
      <c r="G1958">
        <v>11</v>
      </c>
      <c r="H1958" s="4">
        <v>1.8</v>
      </c>
      <c r="I1958" t="s">
        <v>46</v>
      </c>
      <c r="J1958" t="s">
        <v>33</v>
      </c>
      <c r="K1958" t="s">
        <v>48</v>
      </c>
      <c r="L1958">
        <f t="shared" si="60"/>
        <v>2021</v>
      </c>
      <c r="M1958" t="str">
        <f t="shared" si="61"/>
        <v>COVID Period</v>
      </c>
    </row>
    <row r="1959" spans="1:13" x14ac:dyDescent="0.25">
      <c r="A1959" s="2">
        <v>44522</v>
      </c>
      <c r="B1959" t="s">
        <v>40</v>
      </c>
      <c r="C1959">
        <v>15</v>
      </c>
      <c r="D1959" s="3">
        <v>0.63</v>
      </c>
      <c r="E1959" s="3">
        <v>9.4499999999999993</v>
      </c>
      <c r="F1959">
        <v>22</v>
      </c>
      <c r="G1959">
        <v>8</v>
      </c>
      <c r="H1959" s="4">
        <v>1.6</v>
      </c>
      <c r="I1959" t="s">
        <v>46</v>
      </c>
      <c r="J1959" t="s">
        <v>33</v>
      </c>
      <c r="K1959" t="s">
        <v>47</v>
      </c>
      <c r="L1959">
        <f t="shared" si="60"/>
        <v>2021</v>
      </c>
      <c r="M1959" t="str">
        <f t="shared" si="61"/>
        <v>COVID Period</v>
      </c>
    </row>
    <row r="1960" spans="1:13" x14ac:dyDescent="0.25">
      <c r="A1960" s="2">
        <v>44522</v>
      </c>
      <c r="B1960" t="s">
        <v>41</v>
      </c>
      <c r="C1960">
        <v>9</v>
      </c>
      <c r="D1960" s="3">
        <v>1.33</v>
      </c>
      <c r="E1960" s="3">
        <v>11.97</v>
      </c>
      <c r="F1960">
        <v>11</v>
      </c>
      <c r="G1960">
        <v>3</v>
      </c>
      <c r="H1960" s="4">
        <v>4</v>
      </c>
      <c r="I1960" t="s">
        <v>46</v>
      </c>
      <c r="J1960" t="s">
        <v>33</v>
      </c>
      <c r="K1960" t="s">
        <v>47</v>
      </c>
      <c r="L1960">
        <f t="shared" si="60"/>
        <v>2021</v>
      </c>
      <c r="M1960" t="str">
        <f t="shared" si="61"/>
        <v>COVID Period</v>
      </c>
    </row>
    <row r="1961" spans="1:13" x14ac:dyDescent="0.25">
      <c r="A1961" s="2">
        <v>44522</v>
      </c>
      <c r="B1961" t="s">
        <v>42</v>
      </c>
      <c r="C1961">
        <v>24</v>
      </c>
      <c r="D1961" s="3">
        <v>4.0599999999999996</v>
      </c>
      <c r="E1961" s="3">
        <v>97.44</v>
      </c>
      <c r="F1961">
        <v>35</v>
      </c>
      <c r="G1961">
        <v>16</v>
      </c>
      <c r="H1961" s="4">
        <v>3.4</v>
      </c>
      <c r="I1961" t="s">
        <v>46</v>
      </c>
      <c r="J1961" t="s">
        <v>33</v>
      </c>
      <c r="K1961" t="s">
        <v>47</v>
      </c>
      <c r="L1961">
        <f t="shared" si="60"/>
        <v>2021</v>
      </c>
      <c r="M1961" t="str">
        <f t="shared" si="61"/>
        <v>COVID Period</v>
      </c>
    </row>
    <row r="1962" spans="1:13" x14ac:dyDescent="0.25">
      <c r="A1962" s="2">
        <v>44522</v>
      </c>
      <c r="B1962" t="s">
        <v>43</v>
      </c>
      <c r="C1962">
        <v>12</v>
      </c>
      <c r="D1962" s="3">
        <v>5.58</v>
      </c>
      <c r="E1962" s="3">
        <v>66.959999999999994</v>
      </c>
      <c r="F1962">
        <v>13</v>
      </c>
      <c r="G1962">
        <v>3</v>
      </c>
      <c r="H1962" s="4">
        <v>0</v>
      </c>
      <c r="I1962" t="s">
        <v>46</v>
      </c>
      <c r="J1962" t="s">
        <v>33</v>
      </c>
      <c r="L1962">
        <f t="shared" si="60"/>
        <v>2021</v>
      </c>
      <c r="M1962" t="str">
        <f t="shared" si="61"/>
        <v>COVID Period</v>
      </c>
    </row>
    <row r="1963" spans="1:13" x14ac:dyDescent="0.25">
      <c r="A1963" s="2">
        <v>44522</v>
      </c>
      <c r="B1963" t="s">
        <v>44</v>
      </c>
      <c r="C1963">
        <v>1</v>
      </c>
      <c r="D1963" s="3">
        <v>5.0199999999999996</v>
      </c>
      <c r="E1963" s="3">
        <v>5.0199999999999996</v>
      </c>
      <c r="F1963">
        <v>3</v>
      </c>
      <c r="G1963">
        <v>2</v>
      </c>
      <c r="H1963" s="4">
        <v>2.2999999999999998</v>
      </c>
      <c r="I1963" t="s">
        <v>46</v>
      </c>
      <c r="J1963" t="s">
        <v>33</v>
      </c>
      <c r="K1963" t="s">
        <v>47</v>
      </c>
      <c r="L1963">
        <f t="shared" si="60"/>
        <v>2021</v>
      </c>
      <c r="M1963" t="str">
        <f t="shared" si="61"/>
        <v>COVID Period</v>
      </c>
    </row>
    <row r="1964" spans="1:13" x14ac:dyDescent="0.25">
      <c r="A1964" s="2">
        <v>44522</v>
      </c>
      <c r="B1964" t="s">
        <v>45</v>
      </c>
      <c r="C1964">
        <v>0</v>
      </c>
      <c r="D1964" s="3">
        <v>14.98</v>
      </c>
      <c r="E1964" s="3">
        <v>0</v>
      </c>
      <c r="F1964">
        <v>3</v>
      </c>
      <c r="G1964">
        <v>3</v>
      </c>
      <c r="H1964" s="4">
        <v>2.2000000000000002</v>
      </c>
      <c r="I1964" t="s">
        <v>46</v>
      </c>
      <c r="J1964" t="s">
        <v>33</v>
      </c>
      <c r="L1964">
        <f t="shared" si="60"/>
        <v>2021</v>
      </c>
      <c r="M1964" t="str">
        <f t="shared" si="61"/>
        <v>COVID Period</v>
      </c>
    </row>
    <row r="1965" spans="1:13" x14ac:dyDescent="0.25">
      <c r="A1965" s="2">
        <v>44529</v>
      </c>
      <c r="B1965" t="s">
        <v>32</v>
      </c>
      <c r="C1965">
        <v>36</v>
      </c>
      <c r="D1965" s="3">
        <v>6.68</v>
      </c>
      <c r="E1965" s="3">
        <v>240.48</v>
      </c>
      <c r="F1965">
        <v>39</v>
      </c>
      <c r="G1965">
        <v>10</v>
      </c>
      <c r="H1965" s="4">
        <v>2.2000000000000002</v>
      </c>
      <c r="I1965" t="s">
        <v>46</v>
      </c>
      <c r="J1965" t="s">
        <v>33</v>
      </c>
      <c r="L1965">
        <f t="shared" si="60"/>
        <v>2021</v>
      </c>
      <c r="M1965" t="str">
        <f t="shared" si="61"/>
        <v>COVID Period</v>
      </c>
    </row>
    <row r="1966" spans="1:13" x14ac:dyDescent="0.25">
      <c r="A1966" s="2">
        <v>44529</v>
      </c>
      <c r="B1966" t="s">
        <v>34</v>
      </c>
      <c r="C1966">
        <v>24</v>
      </c>
      <c r="D1966" s="3">
        <v>7.16</v>
      </c>
      <c r="E1966" s="3">
        <v>171.84</v>
      </c>
      <c r="F1966">
        <v>37</v>
      </c>
      <c r="G1966">
        <v>14</v>
      </c>
      <c r="H1966" s="4">
        <v>1.3</v>
      </c>
      <c r="I1966" t="s">
        <v>33</v>
      </c>
      <c r="J1966" t="s">
        <v>33</v>
      </c>
      <c r="L1966">
        <f t="shared" si="60"/>
        <v>2021</v>
      </c>
      <c r="M1966" t="str">
        <f t="shared" si="61"/>
        <v>COVID Period</v>
      </c>
    </row>
    <row r="1967" spans="1:13" x14ac:dyDescent="0.25">
      <c r="A1967" s="2">
        <v>44529</v>
      </c>
      <c r="B1967" t="s">
        <v>35</v>
      </c>
      <c r="C1967">
        <v>14</v>
      </c>
      <c r="D1967" s="3">
        <v>6.05</v>
      </c>
      <c r="E1967" s="3">
        <v>84.7</v>
      </c>
      <c r="F1967">
        <v>22</v>
      </c>
      <c r="G1967">
        <v>10</v>
      </c>
      <c r="H1967" s="4">
        <v>1.3</v>
      </c>
      <c r="I1967" t="s">
        <v>33</v>
      </c>
      <c r="J1967" t="s">
        <v>33</v>
      </c>
      <c r="L1967">
        <f t="shared" si="60"/>
        <v>2021</v>
      </c>
      <c r="M1967" t="str">
        <f t="shared" si="61"/>
        <v>COVID Period</v>
      </c>
    </row>
    <row r="1968" spans="1:13" x14ac:dyDescent="0.25">
      <c r="A1968" s="2">
        <v>44529</v>
      </c>
      <c r="B1968" t="s">
        <v>36</v>
      </c>
      <c r="C1968">
        <v>17</v>
      </c>
      <c r="D1968" s="3">
        <v>6.16</v>
      </c>
      <c r="E1968" s="3">
        <v>104.72</v>
      </c>
      <c r="F1968">
        <v>26</v>
      </c>
      <c r="G1968">
        <v>13</v>
      </c>
      <c r="H1968" s="4">
        <v>0.3</v>
      </c>
      <c r="I1968" t="s">
        <v>33</v>
      </c>
      <c r="J1968" t="s">
        <v>33</v>
      </c>
      <c r="L1968">
        <f t="shared" si="60"/>
        <v>2021</v>
      </c>
      <c r="M1968" t="str">
        <f t="shared" si="61"/>
        <v>COVID Period</v>
      </c>
    </row>
    <row r="1969" spans="1:13" x14ac:dyDescent="0.25">
      <c r="A1969" s="2">
        <v>44529</v>
      </c>
      <c r="B1969" t="s">
        <v>37</v>
      </c>
      <c r="C1969">
        <v>27</v>
      </c>
      <c r="D1969" s="3">
        <v>3.35</v>
      </c>
      <c r="E1969" s="3">
        <v>90.45</v>
      </c>
      <c r="F1969">
        <v>28</v>
      </c>
      <c r="G1969">
        <v>5</v>
      </c>
      <c r="H1969" s="4">
        <v>2</v>
      </c>
      <c r="I1969" t="s">
        <v>33</v>
      </c>
      <c r="J1969" t="s">
        <v>33</v>
      </c>
      <c r="L1969">
        <f t="shared" si="60"/>
        <v>2021</v>
      </c>
      <c r="M1969" t="str">
        <f t="shared" si="61"/>
        <v>COVID Period</v>
      </c>
    </row>
    <row r="1970" spans="1:13" x14ac:dyDescent="0.25">
      <c r="A1970" s="2">
        <v>44529</v>
      </c>
      <c r="B1970" t="s">
        <v>38</v>
      </c>
      <c r="C1970">
        <v>17</v>
      </c>
      <c r="D1970" s="3">
        <v>8.5500000000000007</v>
      </c>
      <c r="E1970" s="3">
        <v>145.35</v>
      </c>
      <c r="F1970">
        <v>23</v>
      </c>
      <c r="G1970">
        <v>7</v>
      </c>
      <c r="H1970" s="4">
        <v>1.3</v>
      </c>
      <c r="I1970" t="s">
        <v>33</v>
      </c>
      <c r="J1970" t="s">
        <v>33</v>
      </c>
      <c r="L1970">
        <f t="shared" si="60"/>
        <v>2021</v>
      </c>
      <c r="M1970" t="str">
        <f t="shared" si="61"/>
        <v>COVID Period</v>
      </c>
    </row>
    <row r="1971" spans="1:13" x14ac:dyDescent="0.25">
      <c r="A1971" s="2">
        <v>44529</v>
      </c>
      <c r="B1971" t="s">
        <v>39</v>
      </c>
      <c r="C1971">
        <v>23</v>
      </c>
      <c r="D1971" s="3">
        <v>11.83</v>
      </c>
      <c r="E1971" s="3">
        <v>272.08999999999997</v>
      </c>
      <c r="F1971">
        <v>27</v>
      </c>
      <c r="G1971">
        <v>7</v>
      </c>
      <c r="H1971" s="4">
        <v>1.5</v>
      </c>
      <c r="I1971" t="s">
        <v>46</v>
      </c>
      <c r="J1971" t="s">
        <v>33</v>
      </c>
      <c r="K1971" t="s">
        <v>48</v>
      </c>
      <c r="L1971">
        <f t="shared" si="60"/>
        <v>2021</v>
      </c>
      <c r="M1971" t="str">
        <f t="shared" si="61"/>
        <v>COVID Period</v>
      </c>
    </row>
    <row r="1972" spans="1:13" x14ac:dyDescent="0.25">
      <c r="A1972" s="2">
        <v>44529</v>
      </c>
      <c r="B1972" t="s">
        <v>40</v>
      </c>
      <c r="C1972">
        <v>22</v>
      </c>
      <c r="D1972" s="3">
        <v>0.63</v>
      </c>
      <c r="E1972" s="3">
        <v>13.86</v>
      </c>
      <c r="F1972">
        <v>24</v>
      </c>
      <c r="G1972">
        <v>4</v>
      </c>
      <c r="H1972" s="4">
        <v>2.6</v>
      </c>
      <c r="I1972" t="s">
        <v>46</v>
      </c>
      <c r="J1972" t="s">
        <v>33</v>
      </c>
      <c r="K1972" t="s">
        <v>47</v>
      </c>
      <c r="L1972">
        <f t="shared" si="60"/>
        <v>2021</v>
      </c>
      <c r="M1972" t="str">
        <f t="shared" si="61"/>
        <v>COVID Period</v>
      </c>
    </row>
    <row r="1973" spans="1:13" x14ac:dyDescent="0.25">
      <c r="A1973" s="2">
        <v>44529</v>
      </c>
      <c r="B1973" t="s">
        <v>41</v>
      </c>
      <c r="C1973">
        <v>20</v>
      </c>
      <c r="D1973" s="3">
        <v>1.42</v>
      </c>
      <c r="E1973" s="3">
        <v>28.4</v>
      </c>
      <c r="F1973">
        <v>25</v>
      </c>
      <c r="G1973">
        <v>8</v>
      </c>
      <c r="H1973" s="4">
        <v>2.2000000000000002</v>
      </c>
      <c r="I1973" t="s">
        <v>46</v>
      </c>
      <c r="J1973" t="s">
        <v>33</v>
      </c>
      <c r="K1973" t="s">
        <v>47</v>
      </c>
      <c r="L1973">
        <f t="shared" si="60"/>
        <v>2021</v>
      </c>
      <c r="M1973" t="str">
        <f t="shared" si="61"/>
        <v>COVID Period</v>
      </c>
    </row>
    <row r="1974" spans="1:13" x14ac:dyDescent="0.25">
      <c r="A1974" s="2">
        <v>44529</v>
      </c>
      <c r="B1974" t="s">
        <v>42</v>
      </c>
      <c r="C1974">
        <v>23</v>
      </c>
      <c r="D1974" s="3">
        <v>4.29</v>
      </c>
      <c r="E1974" s="3">
        <v>98.67</v>
      </c>
      <c r="F1974">
        <v>35</v>
      </c>
      <c r="G1974">
        <v>12</v>
      </c>
      <c r="H1974" s="4">
        <v>0.7</v>
      </c>
      <c r="I1974" t="s">
        <v>46</v>
      </c>
      <c r="J1974" t="s">
        <v>33</v>
      </c>
      <c r="K1974" t="s">
        <v>47</v>
      </c>
      <c r="L1974">
        <f t="shared" si="60"/>
        <v>2021</v>
      </c>
      <c r="M1974" t="str">
        <f t="shared" si="61"/>
        <v>COVID Period</v>
      </c>
    </row>
    <row r="1975" spans="1:13" x14ac:dyDescent="0.25">
      <c r="A1975" s="2">
        <v>44529</v>
      </c>
      <c r="B1975" t="s">
        <v>43</v>
      </c>
      <c r="C1975">
        <v>13</v>
      </c>
      <c r="D1975" s="3">
        <v>5.66</v>
      </c>
      <c r="E1975" s="3">
        <v>73.58</v>
      </c>
      <c r="F1975">
        <v>15</v>
      </c>
      <c r="G1975">
        <v>4</v>
      </c>
      <c r="H1975" s="4">
        <v>2.2000000000000002</v>
      </c>
      <c r="I1975" t="s">
        <v>46</v>
      </c>
      <c r="J1975" t="s">
        <v>33</v>
      </c>
      <c r="L1975">
        <f t="shared" si="60"/>
        <v>2021</v>
      </c>
      <c r="M1975" t="str">
        <f t="shared" si="61"/>
        <v>COVID Period</v>
      </c>
    </row>
    <row r="1976" spans="1:13" x14ac:dyDescent="0.25">
      <c r="A1976" s="2">
        <v>44529</v>
      </c>
      <c r="B1976" t="s">
        <v>44</v>
      </c>
      <c r="C1976">
        <v>0</v>
      </c>
      <c r="D1976" s="3">
        <v>4.96</v>
      </c>
      <c r="E1976" s="3">
        <v>0</v>
      </c>
      <c r="F1976">
        <v>3</v>
      </c>
      <c r="G1976">
        <v>3</v>
      </c>
      <c r="H1976" s="4">
        <v>1.6</v>
      </c>
      <c r="I1976" t="s">
        <v>46</v>
      </c>
      <c r="J1976" t="s">
        <v>33</v>
      </c>
      <c r="K1976" t="s">
        <v>47</v>
      </c>
      <c r="L1976">
        <f t="shared" si="60"/>
        <v>2021</v>
      </c>
      <c r="M1976" t="str">
        <f t="shared" si="61"/>
        <v>COVID Period</v>
      </c>
    </row>
    <row r="1977" spans="1:13" x14ac:dyDescent="0.25">
      <c r="A1977" s="2">
        <v>44529</v>
      </c>
      <c r="B1977" t="s">
        <v>45</v>
      </c>
      <c r="C1977">
        <v>0</v>
      </c>
      <c r="D1977" s="3">
        <v>14.48</v>
      </c>
      <c r="E1977" s="3">
        <v>0</v>
      </c>
      <c r="F1977">
        <v>3</v>
      </c>
      <c r="G1977">
        <v>3</v>
      </c>
      <c r="H1977" s="4">
        <v>3.3</v>
      </c>
      <c r="I1977" t="s">
        <v>46</v>
      </c>
      <c r="J1977" t="s">
        <v>33</v>
      </c>
      <c r="L1977">
        <f t="shared" si="60"/>
        <v>2021</v>
      </c>
      <c r="M1977" t="str">
        <f t="shared" si="61"/>
        <v>COVID Period</v>
      </c>
    </row>
    <row r="1978" spans="1:13" x14ac:dyDescent="0.25">
      <c r="A1978" s="2">
        <v>44536</v>
      </c>
      <c r="B1978" t="s">
        <v>32</v>
      </c>
      <c r="C1978">
        <v>24</v>
      </c>
      <c r="D1978" s="3">
        <v>7.12</v>
      </c>
      <c r="E1978" s="3">
        <v>170.88</v>
      </c>
      <c r="F1978">
        <v>39</v>
      </c>
      <c r="G1978">
        <v>17</v>
      </c>
      <c r="H1978" s="4">
        <v>1.1000000000000001</v>
      </c>
      <c r="I1978" t="s">
        <v>33</v>
      </c>
      <c r="J1978" t="s">
        <v>33</v>
      </c>
      <c r="L1978">
        <f t="shared" si="60"/>
        <v>2021</v>
      </c>
      <c r="M1978" t="str">
        <f t="shared" si="61"/>
        <v>COVID Period</v>
      </c>
    </row>
    <row r="1979" spans="1:13" x14ac:dyDescent="0.25">
      <c r="A1979" s="2">
        <v>44536</v>
      </c>
      <c r="B1979" t="s">
        <v>34</v>
      </c>
      <c r="C1979">
        <v>20</v>
      </c>
      <c r="D1979" s="3">
        <v>6.92</v>
      </c>
      <c r="E1979" s="3">
        <v>138.4</v>
      </c>
      <c r="F1979">
        <v>31</v>
      </c>
      <c r="G1979">
        <v>12</v>
      </c>
      <c r="H1979" s="4">
        <v>1.1000000000000001</v>
      </c>
      <c r="I1979" t="s">
        <v>33</v>
      </c>
      <c r="J1979" t="s">
        <v>33</v>
      </c>
      <c r="L1979">
        <f t="shared" si="60"/>
        <v>2021</v>
      </c>
      <c r="M1979" t="str">
        <f t="shared" si="61"/>
        <v>COVID Period</v>
      </c>
    </row>
    <row r="1980" spans="1:13" x14ac:dyDescent="0.25">
      <c r="A1980" s="2">
        <v>44536</v>
      </c>
      <c r="B1980" t="s">
        <v>35</v>
      </c>
      <c r="C1980">
        <v>13</v>
      </c>
      <c r="D1980" s="3">
        <v>5.92</v>
      </c>
      <c r="E1980" s="3">
        <v>76.959999999999994</v>
      </c>
      <c r="F1980">
        <v>16</v>
      </c>
      <c r="G1980">
        <v>5</v>
      </c>
      <c r="H1980" s="4">
        <v>1</v>
      </c>
      <c r="I1980" t="s">
        <v>33</v>
      </c>
      <c r="J1980" t="s">
        <v>33</v>
      </c>
      <c r="L1980">
        <f t="shared" si="60"/>
        <v>2021</v>
      </c>
      <c r="M1980" t="str">
        <f t="shared" si="61"/>
        <v>COVID Period</v>
      </c>
    </row>
    <row r="1981" spans="1:13" x14ac:dyDescent="0.25">
      <c r="A1981" s="2">
        <v>44536</v>
      </c>
      <c r="B1981" t="s">
        <v>36</v>
      </c>
      <c r="C1981">
        <v>17</v>
      </c>
      <c r="D1981" s="3">
        <v>6.26</v>
      </c>
      <c r="E1981" s="3">
        <v>106.42</v>
      </c>
      <c r="F1981">
        <v>22</v>
      </c>
      <c r="G1981">
        <v>8</v>
      </c>
      <c r="H1981" s="4">
        <v>2.1</v>
      </c>
      <c r="I1981" t="s">
        <v>33</v>
      </c>
      <c r="J1981" t="s">
        <v>33</v>
      </c>
      <c r="L1981">
        <f t="shared" si="60"/>
        <v>2021</v>
      </c>
      <c r="M1981" t="str">
        <f t="shared" si="61"/>
        <v>COVID Period</v>
      </c>
    </row>
    <row r="1982" spans="1:13" x14ac:dyDescent="0.25">
      <c r="A1982" s="2">
        <v>44536</v>
      </c>
      <c r="B1982" t="s">
        <v>37</v>
      </c>
      <c r="C1982">
        <v>31</v>
      </c>
      <c r="D1982" s="3">
        <v>3.11</v>
      </c>
      <c r="E1982" s="3">
        <v>96.41</v>
      </c>
      <c r="F1982">
        <v>37</v>
      </c>
      <c r="G1982">
        <v>7</v>
      </c>
      <c r="H1982" s="4">
        <v>2.7</v>
      </c>
      <c r="I1982" t="s">
        <v>33</v>
      </c>
      <c r="J1982" t="s">
        <v>33</v>
      </c>
      <c r="L1982">
        <f t="shared" si="60"/>
        <v>2021</v>
      </c>
      <c r="M1982" t="str">
        <f t="shared" si="61"/>
        <v>COVID Period</v>
      </c>
    </row>
    <row r="1983" spans="1:13" x14ac:dyDescent="0.25">
      <c r="A1983" s="2">
        <v>44536</v>
      </c>
      <c r="B1983" t="s">
        <v>38</v>
      </c>
      <c r="C1983">
        <v>16</v>
      </c>
      <c r="D1983" s="3">
        <v>8.5399999999999991</v>
      </c>
      <c r="E1983" s="3">
        <v>136.63999999999999</v>
      </c>
      <c r="F1983">
        <v>23</v>
      </c>
      <c r="G1983">
        <v>10</v>
      </c>
      <c r="H1983" s="4">
        <v>2.2999999999999998</v>
      </c>
      <c r="I1983" t="s">
        <v>33</v>
      </c>
      <c r="J1983" t="s">
        <v>33</v>
      </c>
      <c r="L1983">
        <f t="shared" si="60"/>
        <v>2021</v>
      </c>
      <c r="M1983" t="str">
        <f t="shared" si="61"/>
        <v>COVID Period</v>
      </c>
    </row>
    <row r="1984" spans="1:13" x14ac:dyDescent="0.25">
      <c r="A1984" s="2">
        <v>44536</v>
      </c>
      <c r="B1984" t="s">
        <v>39</v>
      </c>
      <c r="C1984">
        <v>45</v>
      </c>
      <c r="D1984" s="3">
        <v>11.35</v>
      </c>
      <c r="E1984" s="3">
        <v>510.75</v>
      </c>
      <c r="F1984">
        <v>57</v>
      </c>
      <c r="G1984">
        <v>21</v>
      </c>
      <c r="H1984" s="4">
        <v>3.2</v>
      </c>
      <c r="I1984" t="s">
        <v>46</v>
      </c>
      <c r="J1984" t="s">
        <v>33</v>
      </c>
      <c r="K1984" t="s">
        <v>48</v>
      </c>
      <c r="L1984">
        <f t="shared" si="60"/>
        <v>2021</v>
      </c>
      <c r="M1984" t="str">
        <f t="shared" si="61"/>
        <v>COVID Period</v>
      </c>
    </row>
    <row r="1985" spans="1:13" x14ac:dyDescent="0.25">
      <c r="A1985" s="2">
        <v>44536</v>
      </c>
      <c r="B1985" t="s">
        <v>40</v>
      </c>
      <c r="C1985">
        <v>21</v>
      </c>
      <c r="D1985" s="3">
        <v>0.64</v>
      </c>
      <c r="E1985" s="3">
        <v>13.44</v>
      </c>
      <c r="F1985">
        <v>29</v>
      </c>
      <c r="G1985">
        <v>10</v>
      </c>
      <c r="H1985" s="4">
        <v>3.4</v>
      </c>
      <c r="I1985" t="s">
        <v>46</v>
      </c>
      <c r="J1985" t="s">
        <v>33</v>
      </c>
      <c r="K1985" t="s">
        <v>47</v>
      </c>
      <c r="L1985">
        <f t="shared" si="60"/>
        <v>2021</v>
      </c>
      <c r="M1985" t="str">
        <f t="shared" si="61"/>
        <v>COVID Period</v>
      </c>
    </row>
    <row r="1986" spans="1:13" x14ac:dyDescent="0.25">
      <c r="A1986" s="2">
        <v>44536</v>
      </c>
      <c r="B1986" t="s">
        <v>41</v>
      </c>
      <c r="C1986">
        <v>19</v>
      </c>
      <c r="D1986" s="3">
        <v>1.39</v>
      </c>
      <c r="E1986" s="3">
        <v>26.41</v>
      </c>
      <c r="F1986">
        <v>30</v>
      </c>
      <c r="G1986">
        <v>14</v>
      </c>
      <c r="H1986" s="4">
        <v>4.9000000000000004</v>
      </c>
      <c r="I1986" t="s">
        <v>46</v>
      </c>
      <c r="J1986" t="s">
        <v>33</v>
      </c>
      <c r="K1986" t="s">
        <v>47</v>
      </c>
      <c r="L1986">
        <f t="shared" ref="L1986:L2049" si="62">YEAR(A1986)</f>
        <v>2021</v>
      </c>
      <c r="M1986" t="str">
        <f t="shared" ref="M1986:M2049" si="63">IF(L1986=2019,"Pre-COVID","COVID Period")</f>
        <v>COVID Period</v>
      </c>
    </row>
    <row r="1987" spans="1:13" x14ac:dyDescent="0.25">
      <c r="A1987" s="2">
        <v>44536</v>
      </c>
      <c r="B1987" t="s">
        <v>42</v>
      </c>
      <c r="C1987">
        <v>23</v>
      </c>
      <c r="D1987" s="3">
        <v>4.37</v>
      </c>
      <c r="E1987" s="3">
        <v>100.51</v>
      </c>
      <c r="F1987">
        <v>26</v>
      </c>
      <c r="G1987">
        <v>7</v>
      </c>
      <c r="H1987" s="4">
        <v>1.8</v>
      </c>
      <c r="I1987" t="s">
        <v>46</v>
      </c>
      <c r="J1987" t="s">
        <v>33</v>
      </c>
      <c r="K1987" t="s">
        <v>47</v>
      </c>
      <c r="L1987">
        <f t="shared" si="62"/>
        <v>2021</v>
      </c>
      <c r="M1987" t="str">
        <f t="shared" si="63"/>
        <v>COVID Period</v>
      </c>
    </row>
    <row r="1988" spans="1:13" x14ac:dyDescent="0.25">
      <c r="A1988" s="2">
        <v>44536</v>
      </c>
      <c r="B1988" t="s">
        <v>43</v>
      </c>
      <c r="C1988">
        <v>14</v>
      </c>
      <c r="D1988" s="3">
        <v>5.6</v>
      </c>
      <c r="E1988" s="3">
        <v>78.400000000000006</v>
      </c>
      <c r="F1988">
        <v>22</v>
      </c>
      <c r="G1988">
        <v>8</v>
      </c>
      <c r="H1988" s="4">
        <v>1.8</v>
      </c>
      <c r="I1988" t="s">
        <v>46</v>
      </c>
      <c r="J1988" t="s">
        <v>33</v>
      </c>
      <c r="L1988">
        <f t="shared" si="62"/>
        <v>2021</v>
      </c>
      <c r="M1988" t="str">
        <f t="shared" si="63"/>
        <v>COVID Period</v>
      </c>
    </row>
    <row r="1989" spans="1:13" x14ac:dyDescent="0.25">
      <c r="A1989" s="2">
        <v>44536</v>
      </c>
      <c r="B1989" t="s">
        <v>44</v>
      </c>
      <c r="C1989">
        <v>0</v>
      </c>
      <c r="D1989" s="3">
        <v>4.91</v>
      </c>
      <c r="E1989" s="3">
        <v>0</v>
      </c>
      <c r="F1989">
        <v>3</v>
      </c>
      <c r="G1989">
        <v>3</v>
      </c>
      <c r="H1989" s="4">
        <v>2.8</v>
      </c>
      <c r="I1989" t="s">
        <v>46</v>
      </c>
      <c r="J1989" t="s">
        <v>33</v>
      </c>
      <c r="K1989" t="s">
        <v>47</v>
      </c>
      <c r="L1989">
        <f t="shared" si="62"/>
        <v>2021</v>
      </c>
      <c r="M1989" t="str">
        <f t="shared" si="63"/>
        <v>COVID Period</v>
      </c>
    </row>
    <row r="1990" spans="1:13" x14ac:dyDescent="0.25">
      <c r="A1990" s="2">
        <v>44536</v>
      </c>
      <c r="B1990" t="s">
        <v>45</v>
      </c>
      <c r="C1990">
        <v>0</v>
      </c>
      <c r="D1990" s="3">
        <v>14.48</v>
      </c>
      <c r="E1990" s="3">
        <v>0</v>
      </c>
      <c r="F1990">
        <v>3</v>
      </c>
      <c r="G1990">
        <v>3</v>
      </c>
      <c r="H1990" s="4">
        <v>3.8</v>
      </c>
      <c r="I1990" t="s">
        <v>46</v>
      </c>
      <c r="J1990" t="s">
        <v>33</v>
      </c>
      <c r="L1990">
        <f t="shared" si="62"/>
        <v>2021</v>
      </c>
      <c r="M1990" t="str">
        <f t="shared" si="63"/>
        <v>COVID Period</v>
      </c>
    </row>
    <row r="1991" spans="1:13" x14ac:dyDescent="0.25">
      <c r="A1991" s="2">
        <v>44543</v>
      </c>
      <c r="B1991" t="s">
        <v>32</v>
      </c>
      <c r="C1991">
        <v>32</v>
      </c>
      <c r="D1991" s="3">
        <v>6.82</v>
      </c>
      <c r="E1991" s="3">
        <v>218.24</v>
      </c>
      <c r="F1991">
        <v>46</v>
      </c>
      <c r="G1991">
        <v>22</v>
      </c>
      <c r="H1991" s="4">
        <v>0.7</v>
      </c>
      <c r="I1991" t="s">
        <v>33</v>
      </c>
      <c r="J1991" t="s">
        <v>33</v>
      </c>
      <c r="L1991">
        <f t="shared" si="62"/>
        <v>2021</v>
      </c>
      <c r="M1991" t="str">
        <f t="shared" si="63"/>
        <v>COVID Period</v>
      </c>
    </row>
    <row r="1992" spans="1:13" x14ac:dyDescent="0.25">
      <c r="A1992" s="2">
        <v>44543</v>
      </c>
      <c r="B1992" t="s">
        <v>34</v>
      </c>
      <c r="C1992">
        <v>18</v>
      </c>
      <c r="D1992" s="3">
        <v>7.24</v>
      </c>
      <c r="E1992" s="3">
        <v>130.32</v>
      </c>
      <c r="F1992">
        <v>24</v>
      </c>
      <c r="G1992">
        <v>9</v>
      </c>
      <c r="H1992" s="4">
        <v>1.6</v>
      </c>
      <c r="I1992" t="s">
        <v>33</v>
      </c>
      <c r="J1992" t="s">
        <v>33</v>
      </c>
      <c r="L1992">
        <f t="shared" si="62"/>
        <v>2021</v>
      </c>
      <c r="M1992" t="str">
        <f t="shared" si="63"/>
        <v>COVID Period</v>
      </c>
    </row>
    <row r="1993" spans="1:13" x14ac:dyDescent="0.25">
      <c r="A1993" s="2">
        <v>44543</v>
      </c>
      <c r="B1993" t="s">
        <v>35</v>
      </c>
      <c r="C1993">
        <v>16</v>
      </c>
      <c r="D1993" s="3">
        <v>5.71</v>
      </c>
      <c r="E1993" s="3">
        <v>91.36</v>
      </c>
      <c r="F1993">
        <v>24</v>
      </c>
      <c r="G1993">
        <v>10</v>
      </c>
      <c r="H1993" s="4">
        <v>1.3</v>
      </c>
      <c r="I1993" t="s">
        <v>33</v>
      </c>
      <c r="J1993" t="s">
        <v>33</v>
      </c>
      <c r="L1993">
        <f t="shared" si="62"/>
        <v>2021</v>
      </c>
      <c r="M1993" t="str">
        <f t="shared" si="63"/>
        <v>COVID Period</v>
      </c>
    </row>
    <row r="1994" spans="1:13" x14ac:dyDescent="0.25">
      <c r="A1994" s="2">
        <v>44543</v>
      </c>
      <c r="B1994" t="s">
        <v>36</v>
      </c>
      <c r="C1994">
        <v>15</v>
      </c>
      <c r="D1994" s="3">
        <v>6.04</v>
      </c>
      <c r="E1994" s="3">
        <v>90.6</v>
      </c>
      <c r="F1994">
        <v>22</v>
      </c>
      <c r="G1994">
        <v>10</v>
      </c>
      <c r="H1994" s="4">
        <v>1.8</v>
      </c>
      <c r="I1994" t="s">
        <v>33</v>
      </c>
      <c r="J1994" t="s">
        <v>33</v>
      </c>
      <c r="L1994">
        <f t="shared" si="62"/>
        <v>2021</v>
      </c>
      <c r="M1994" t="str">
        <f t="shared" si="63"/>
        <v>COVID Period</v>
      </c>
    </row>
    <row r="1995" spans="1:13" x14ac:dyDescent="0.25">
      <c r="A1995" s="2">
        <v>44543</v>
      </c>
      <c r="B1995" t="s">
        <v>37</v>
      </c>
      <c r="C1995">
        <v>43</v>
      </c>
      <c r="D1995" s="3">
        <v>3.24</v>
      </c>
      <c r="E1995" s="3">
        <v>139.32</v>
      </c>
      <c r="F1995">
        <v>65</v>
      </c>
      <c r="G1995">
        <v>28</v>
      </c>
      <c r="H1995" s="4">
        <v>0.9</v>
      </c>
      <c r="I1995" t="s">
        <v>33</v>
      </c>
      <c r="J1995" t="s">
        <v>33</v>
      </c>
      <c r="L1995">
        <f t="shared" si="62"/>
        <v>2021</v>
      </c>
      <c r="M1995" t="str">
        <f t="shared" si="63"/>
        <v>COVID Period</v>
      </c>
    </row>
    <row r="1996" spans="1:13" x14ac:dyDescent="0.25">
      <c r="A1996" s="2">
        <v>44543</v>
      </c>
      <c r="B1996" t="s">
        <v>38</v>
      </c>
      <c r="C1996">
        <v>20</v>
      </c>
      <c r="D1996" s="3">
        <v>8.32</v>
      </c>
      <c r="E1996" s="3">
        <v>166.4</v>
      </c>
      <c r="F1996">
        <v>30</v>
      </c>
      <c r="G1996">
        <v>11</v>
      </c>
      <c r="H1996" s="4">
        <v>1.6</v>
      </c>
      <c r="I1996" t="s">
        <v>33</v>
      </c>
      <c r="J1996" t="s">
        <v>33</v>
      </c>
      <c r="L1996">
        <f t="shared" si="62"/>
        <v>2021</v>
      </c>
      <c r="M1996" t="str">
        <f t="shared" si="63"/>
        <v>COVID Period</v>
      </c>
    </row>
    <row r="1997" spans="1:13" x14ac:dyDescent="0.25">
      <c r="A1997" s="2">
        <v>44543</v>
      </c>
      <c r="B1997" t="s">
        <v>39</v>
      </c>
      <c r="C1997">
        <v>34</v>
      </c>
      <c r="D1997" s="3">
        <v>11.89</v>
      </c>
      <c r="E1997" s="3">
        <v>404.26</v>
      </c>
      <c r="F1997">
        <v>46</v>
      </c>
      <c r="G1997">
        <v>15</v>
      </c>
      <c r="H1997" s="4">
        <v>1.8</v>
      </c>
      <c r="I1997" t="s">
        <v>46</v>
      </c>
      <c r="J1997" t="s">
        <v>33</v>
      </c>
      <c r="K1997" t="s">
        <v>48</v>
      </c>
      <c r="L1997">
        <f t="shared" si="62"/>
        <v>2021</v>
      </c>
      <c r="M1997" t="str">
        <f t="shared" si="63"/>
        <v>COVID Period</v>
      </c>
    </row>
    <row r="1998" spans="1:13" x14ac:dyDescent="0.25">
      <c r="A1998" s="2">
        <v>44543</v>
      </c>
      <c r="B1998" t="s">
        <v>40</v>
      </c>
      <c r="C1998">
        <v>21</v>
      </c>
      <c r="D1998" s="3">
        <v>0.64</v>
      </c>
      <c r="E1998" s="3">
        <v>13.44</v>
      </c>
      <c r="F1998">
        <v>26</v>
      </c>
      <c r="G1998">
        <v>5</v>
      </c>
      <c r="H1998" s="4">
        <v>2.1</v>
      </c>
      <c r="I1998" t="s">
        <v>46</v>
      </c>
      <c r="J1998" t="s">
        <v>33</v>
      </c>
      <c r="K1998" t="s">
        <v>47</v>
      </c>
      <c r="L1998">
        <f t="shared" si="62"/>
        <v>2021</v>
      </c>
      <c r="M1998" t="str">
        <f t="shared" si="63"/>
        <v>COVID Period</v>
      </c>
    </row>
    <row r="1999" spans="1:13" x14ac:dyDescent="0.25">
      <c r="A1999" s="2">
        <v>44543</v>
      </c>
      <c r="B1999" t="s">
        <v>41</v>
      </c>
      <c r="C1999">
        <v>17</v>
      </c>
      <c r="D1999" s="3">
        <v>1.33</v>
      </c>
      <c r="E1999" s="3">
        <v>22.61</v>
      </c>
      <c r="F1999">
        <v>20</v>
      </c>
      <c r="G1999">
        <v>5</v>
      </c>
      <c r="H1999" s="4">
        <v>4.4000000000000004</v>
      </c>
      <c r="I1999" t="s">
        <v>46</v>
      </c>
      <c r="J1999" t="s">
        <v>33</v>
      </c>
      <c r="K1999" t="s">
        <v>47</v>
      </c>
      <c r="L1999">
        <f t="shared" si="62"/>
        <v>2021</v>
      </c>
      <c r="M1999" t="str">
        <f t="shared" si="63"/>
        <v>COVID Period</v>
      </c>
    </row>
    <row r="2000" spans="1:13" x14ac:dyDescent="0.25">
      <c r="A2000" s="2">
        <v>44543</v>
      </c>
      <c r="B2000" t="s">
        <v>42</v>
      </c>
      <c r="C2000">
        <v>24</v>
      </c>
      <c r="D2000" s="3">
        <v>4.26</v>
      </c>
      <c r="E2000" s="3">
        <v>102.24</v>
      </c>
      <c r="F2000">
        <v>36</v>
      </c>
      <c r="G2000">
        <v>17</v>
      </c>
      <c r="H2000" s="4">
        <v>2.5</v>
      </c>
      <c r="I2000" t="s">
        <v>46</v>
      </c>
      <c r="J2000" t="s">
        <v>33</v>
      </c>
      <c r="K2000" t="s">
        <v>47</v>
      </c>
      <c r="L2000">
        <f t="shared" si="62"/>
        <v>2021</v>
      </c>
      <c r="M2000" t="str">
        <f t="shared" si="63"/>
        <v>COVID Period</v>
      </c>
    </row>
    <row r="2001" spans="1:13" x14ac:dyDescent="0.25">
      <c r="A2001" s="2">
        <v>44543</v>
      </c>
      <c r="B2001" t="s">
        <v>43</v>
      </c>
      <c r="C2001">
        <v>12</v>
      </c>
      <c r="D2001" s="3">
        <v>5.47</v>
      </c>
      <c r="E2001" s="3">
        <v>65.64</v>
      </c>
      <c r="F2001">
        <v>17</v>
      </c>
      <c r="G2001">
        <v>7</v>
      </c>
      <c r="H2001" s="4">
        <v>1.2</v>
      </c>
      <c r="I2001" t="s">
        <v>46</v>
      </c>
      <c r="J2001" t="s">
        <v>33</v>
      </c>
      <c r="L2001">
        <f t="shared" si="62"/>
        <v>2021</v>
      </c>
      <c r="M2001" t="str">
        <f t="shared" si="63"/>
        <v>COVID Period</v>
      </c>
    </row>
    <row r="2002" spans="1:13" x14ac:dyDescent="0.25">
      <c r="A2002" s="2">
        <v>44543</v>
      </c>
      <c r="B2002" t="s">
        <v>44</v>
      </c>
      <c r="C2002">
        <v>0</v>
      </c>
      <c r="D2002" s="3">
        <v>4.92</v>
      </c>
      <c r="E2002" s="3">
        <v>0</v>
      </c>
      <c r="F2002">
        <v>3</v>
      </c>
      <c r="G2002">
        <v>3</v>
      </c>
      <c r="H2002" s="4">
        <v>3.5</v>
      </c>
      <c r="I2002" t="s">
        <v>46</v>
      </c>
      <c r="J2002" t="s">
        <v>33</v>
      </c>
      <c r="K2002" t="s">
        <v>47</v>
      </c>
      <c r="L2002">
        <f t="shared" si="62"/>
        <v>2021</v>
      </c>
      <c r="M2002" t="str">
        <f t="shared" si="63"/>
        <v>COVID Period</v>
      </c>
    </row>
    <row r="2003" spans="1:13" x14ac:dyDescent="0.25">
      <c r="A2003" s="2">
        <v>44543</v>
      </c>
      <c r="B2003" t="s">
        <v>45</v>
      </c>
      <c r="C2003">
        <v>0</v>
      </c>
      <c r="D2003" s="3">
        <v>14.5</v>
      </c>
      <c r="E2003" s="3">
        <v>0</v>
      </c>
      <c r="F2003">
        <v>3</v>
      </c>
      <c r="G2003">
        <v>3</v>
      </c>
      <c r="H2003" s="4">
        <v>2</v>
      </c>
      <c r="I2003" t="s">
        <v>46</v>
      </c>
      <c r="J2003" t="s">
        <v>33</v>
      </c>
      <c r="L2003">
        <f t="shared" si="62"/>
        <v>2021</v>
      </c>
      <c r="M2003" t="str">
        <f t="shared" si="63"/>
        <v>COVID Period</v>
      </c>
    </row>
    <row r="2004" spans="1:13" x14ac:dyDescent="0.25">
      <c r="A2004" s="2">
        <v>44550</v>
      </c>
      <c r="B2004" t="s">
        <v>32</v>
      </c>
      <c r="C2004">
        <v>30</v>
      </c>
      <c r="D2004" s="3">
        <v>6.86</v>
      </c>
      <c r="E2004" s="3">
        <v>205.8</v>
      </c>
      <c r="F2004">
        <v>33</v>
      </c>
      <c r="G2004">
        <v>5</v>
      </c>
      <c r="H2004" s="4">
        <v>1.5</v>
      </c>
      <c r="I2004" t="s">
        <v>33</v>
      </c>
      <c r="J2004" t="s">
        <v>33</v>
      </c>
      <c r="L2004">
        <f t="shared" si="62"/>
        <v>2021</v>
      </c>
      <c r="M2004" t="str">
        <f t="shared" si="63"/>
        <v>COVID Period</v>
      </c>
    </row>
    <row r="2005" spans="1:13" x14ac:dyDescent="0.25">
      <c r="A2005" s="2">
        <v>44550</v>
      </c>
      <c r="B2005" t="s">
        <v>34</v>
      </c>
      <c r="C2005">
        <v>20</v>
      </c>
      <c r="D2005" s="3">
        <v>7.05</v>
      </c>
      <c r="E2005" s="3">
        <v>141</v>
      </c>
      <c r="F2005">
        <v>25</v>
      </c>
      <c r="G2005">
        <v>8</v>
      </c>
      <c r="H2005" s="4">
        <v>1.3</v>
      </c>
      <c r="I2005" t="s">
        <v>33</v>
      </c>
      <c r="J2005" t="s">
        <v>33</v>
      </c>
      <c r="L2005">
        <f t="shared" si="62"/>
        <v>2021</v>
      </c>
      <c r="M2005" t="str">
        <f t="shared" si="63"/>
        <v>COVID Period</v>
      </c>
    </row>
    <row r="2006" spans="1:13" x14ac:dyDescent="0.25">
      <c r="A2006" s="2">
        <v>44550</v>
      </c>
      <c r="B2006" t="s">
        <v>35</v>
      </c>
      <c r="C2006">
        <v>15</v>
      </c>
      <c r="D2006" s="3">
        <v>6.08</v>
      </c>
      <c r="E2006" s="3">
        <v>91.2</v>
      </c>
      <c r="F2006">
        <v>23</v>
      </c>
      <c r="G2006">
        <v>10</v>
      </c>
      <c r="H2006" s="4">
        <v>1</v>
      </c>
      <c r="I2006" t="s">
        <v>33</v>
      </c>
      <c r="J2006" t="s">
        <v>33</v>
      </c>
      <c r="L2006">
        <f t="shared" si="62"/>
        <v>2021</v>
      </c>
      <c r="M2006" t="str">
        <f t="shared" si="63"/>
        <v>COVID Period</v>
      </c>
    </row>
    <row r="2007" spans="1:13" x14ac:dyDescent="0.25">
      <c r="A2007" s="2">
        <v>44550</v>
      </c>
      <c r="B2007" t="s">
        <v>36</v>
      </c>
      <c r="C2007">
        <v>18</v>
      </c>
      <c r="D2007" s="3">
        <v>6.02</v>
      </c>
      <c r="E2007" s="3">
        <v>108.36</v>
      </c>
      <c r="F2007">
        <v>29</v>
      </c>
      <c r="G2007">
        <v>15</v>
      </c>
      <c r="H2007" s="4">
        <v>1.7</v>
      </c>
      <c r="I2007" t="s">
        <v>33</v>
      </c>
      <c r="J2007" t="s">
        <v>33</v>
      </c>
      <c r="L2007">
        <f t="shared" si="62"/>
        <v>2021</v>
      </c>
      <c r="M2007" t="str">
        <f t="shared" si="63"/>
        <v>COVID Period</v>
      </c>
    </row>
    <row r="2008" spans="1:13" x14ac:dyDescent="0.25">
      <c r="A2008" s="2">
        <v>44550</v>
      </c>
      <c r="B2008" t="s">
        <v>37</v>
      </c>
      <c r="C2008">
        <v>31</v>
      </c>
      <c r="D2008" s="3">
        <v>3.35</v>
      </c>
      <c r="E2008" s="3">
        <v>103.85</v>
      </c>
      <c r="F2008">
        <v>42</v>
      </c>
      <c r="G2008">
        <v>15</v>
      </c>
      <c r="H2008" s="4">
        <v>1</v>
      </c>
      <c r="I2008" t="s">
        <v>33</v>
      </c>
      <c r="J2008" t="s">
        <v>33</v>
      </c>
      <c r="L2008">
        <f t="shared" si="62"/>
        <v>2021</v>
      </c>
      <c r="M2008" t="str">
        <f t="shared" si="63"/>
        <v>COVID Period</v>
      </c>
    </row>
    <row r="2009" spans="1:13" x14ac:dyDescent="0.25">
      <c r="A2009" s="2">
        <v>44550</v>
      </c>
      <c r="B2009" t="s">
        <v>38</v>
      </c>
      <c r="C2009">
        <v>17</v>
      </c>
      <c r="D2009" s="3">
        <v>8.31</v>
      </c>
      <c r="E2009" s="3">
        <v>141.27000000000001</v>
      </c>
      <c r="F2009">
        <v>22</v>
      </c>
      <c r="G2009">
        <v>5</v>
      </c>
      <c r="H2009" s="4">
        <v>2.6</v>
      </c>
      <c r="I2009" t="s">
        <v>33</v>
      </c>
      <c r="J2009" t="s">
        <v>33</v>
      </c>
      <c r="L2009">
        <f t="shared" si="62"/>
        <v>2021</v>
      </c>
      <c r="M2009" t="str">
        <f t="shared" si="63"/>
        <v>COVID Period</v>
      </c>
    </row>
    <row r="2010" spans="1:13" x14ac:dyDescent="0.25">
      <c r="A2010" s="2">
        <v>44550</v>
      </c>
      <c r="B2010" t="s">
        <v>39</v>
      </c>
      <c r="C2010">
        <v>32</v>
      </c>
      <c r="D2010" s="3">
        <v>11.32</v>
      </c>
      <c r="E2010" s="3">
        <v>362.24</v>
      </c>
      <c r="F2010">
        <v>44</v>
      </c>
      <c r="G2010">
        <v>15</v>
      </c>
      <c r="H2010" s="4">
        <v>1.2</v>
      </c>
      <c r="I2010" t="s">
        <v>46</v>
      </c>
      <c r="J2010" t="s">
        <v>33</v>
      </c>
      <c r="K2010" t="s">
        <v>48</v>
      </c>
      <c r="L2010">
        <f t="shared" si="62"/>
        <v>2021</v>
      </c>
      <c r="M2010" t="str">
        <f t="shared" si="63"/>
        <v>COVID Period</v>
      </c>
    </row>
    <row r="2011" spans="1:13" x14ac:dyDescent="0.25">
      <c r="A2011" s="2">
        <v>44550</v>
      </c>
      <c r="B2011" t="s">
        <v>40</v>
      </c>
      <c r="C2011">
        <v>26</v>
      </c>
      <c r="D2011" s="3">
        <v>0.68</v>
      </c>
      <c r="E2011" s="3">
        <v>17.68</v>
      </c>
      <c r="F2011">
        <v>39</v>
      </c>
      <c r="G2011">
        <v>16</v>
      </c>
      <c r="H2011" s="4">
        <v>2</v>
      </c>
      <c r="I2011" t="s">
        <v>46</v>
      </c>
      <c r="J2011" t="s">
        <v>33</v>
      </c>
      <c r="K2011" t="s">
        <v>47</v>
      </c>
      <c r="L2011">
        <f t="shared" si="62"/>
        <v>2021</v>
      </c>
      <c r="M2011" t="str">
        <f t="shared" si="63"/>
        <v>COVID Period</v>
      </c>
    </row>
    <row r="2012" spans="1:13" x14ac:dyDescent="0.25">
      <c r="A2012" s="2">
        <v>44550</v>
      </c>
      <c r="B2012" t="s">
        <v>41</v>
      </c>
      <c r="C2012">
        <v>11</v>
      </c>
      <c r="D2012" s="3">
        <v>1.34</v>
      </c>
      <c r="E2012" s="3">
        <v>14.74</v>
      </c>
      <c r="F2012">
        <v>18</v>
      </c>
      <c r="G2012">
        <v>8</v>
      </c>
      <c r="H2012" s="4">
        <v>2.4</v>
      </c>
      <c r="I2012" t="s">
        <v>46</v>
      </c>
      <c r="J2012" t="s">
        <v>33</v>
      </c>
      <c r="K2012" t="s">
        <v>47</v>
      </c>
      <c r="L2012">
        <f t="shared" si="62"/>
        <v>2021</v>
      </c>
      <c r="M2012" t="str">
        <f t="shared" si="63"/>
        <v>COVID Period</v>
      </c>
    </row>
    <row r="2013" spans="1:13" x14ac:dyDescent="0.25">
      <c r="A2013" s="2">
        <v>44550</v>
      </c>
      <c r="B2013" t="s">
        <v>42</v>
      </c>
      <c r="C2013">
        <v>15</v>
      </c>
      <c r="D2013" s="3">
        <v>4.17</v>
      </c>
      <c r="E2013" s="3">
        <v>62.55</v>
      </c>
      <c r="F2013">
        <v>24</v>
      </c>
      <c r="G2013">
        <v>9</v>
      </c>
      <c r="H2013" s="4">
        <v>4.2</v>
      </c>
      <c r="I2013" t="s">
        <v>46</v>
      </c>
      <c r="J2013" t="s">
        <v>33</v>
      </c>
      <c r="K2013" t="s">
        <v>47</v>
      </c>
      <c r="L2013">
        <f t="shared" si="62"/>
        <v>2021</v>
      </c>
      <c r="M2013" t="str">
        <f t="shared" si="63"/>
        <v>COVID Period</v>
      </c>
    </row>
    <row r="2014" spans="1:13" x14ac:dyDescent="0.25">
      <c r="A2014" s="2">
        <v>44550</v>
      </c>
      <c r="B2014" t="s">
        <v>43</v>
      </c>
      <c r="C2014">
        <v>9</v>
      </c>
      <c r="D2014" s="3">
        <v>5.73</v>
      </c>
      <c r="E2014" s="3">
        <v>51.57</v>
      </c>
      <c r="F2014">
        <v>14</v>
      </c>
      <c r="G2014">
        <v>6</v>
      </c>
      <c r="H2014" s="4">
        <v>2.8</v>
      </c>
      <c r="I2014" t="s">
        <v>46</v>
      </c>
      <c r="J2014" t="s">
        <v>33</v>
      </c>
      <c r="L2014">
        <f t="shared" si="62"/>
        <v>2021</v>
      </c>
      <c r="M2014" t="str">
        <f t="shared" si="63"/>
        <v>COVID Period</v>
      </c>
    </row>
    <row r="2015" spans="1:13" x14ac:dyDescent="0.25">
      <c r="A2015" s="2">
        <v>44550</v>
      </c>
      <c r="B2015" t="s">
        <v>44</v>
      </c>
      <c r="C2015">
        <v>0</v>
      </c>
      <c r="D2015" s="3">
        <v>4.6399999999999997</v>
      </c>
      <c r="E2015" s="3">
        <v>0</v>
      </c>
      <c r="F2015">
        <v>3</v>
      </c>
      <c r="G2015">
        <v>3</v>
      </c>
      <c r="H2015" s="4">
        <v>2.2999999999999998</v>
      </c>
      <c r="I2015" t="s">
        <v>46</v>
      </c>
      <c r="J2015" t="s">
        <v>33</v>
      </c>
      <c r="K2015" t="s">
        <v>47</v>
      </c>
      <c r="L2015">
        <f t="shared" si="62"/>
        <v>2021</v>
      </c>
      <c r="M2015" t="str">
        <f t="shared" si="63"/>
        <v>COVID Period</v>
      </c>
    </row>
    <row r="2016" spans="1:13" x14ac:dyDescent="0.25">
      <c r="A2016" s="2">
        <v>44550</v>
      </c>
      <c r="B2016" t="s">
        <v>45</v>
      </c>
      <c r="C2016">
        <v>2</v>
      </c>
      <c r="D2016" s="3">
        <v>15.69</v>
      </c>
      <c r="E2016" s="3">
        <v>31.38</v>
      </c>
      <c r="F2016">
        <v>3</v>
      </c>
      <c r="G2016">
        <v>1</v>
      </c>
      <c r="H2016" s="4">
        <v>2.4</v>
      </c>
      <c r="I2016" t="s">
        <v>46</v>
      </c>
      <c r="J2016" t="s">
        <v>33</v>
      </c>
      <c r="L2016">
        <f t="shared" si="62"/>
        <v>2021</v>
      </c>
      <c r="M2016" t="str">
        <f t="shared" si="63"/>
        <v>COVID Period</v>
      </c>
    </row>
    <row r="2017" spans="1:13" x14ac:dyDescent="0.25">
      <c r="A2017" s="2">
        <v>44557</v>
      </c>
      <c r="B2017" t="s">
        <v>32</v>
      </c>
      <c r="C2017">
        <v>24</v>
      </c>
      <c r="D2017" s="3">
        <v>6.99</v>
      </c>
      <c r="E2017" s="3">
        <v>167.76</v>
      </c>
      <c r="F2017">
        <v>33</v>
      </c>
      <c r="G2017">
        <v>15</v>
      </c>
      <c r="H2017" s="4">
        <v>1.2</v>
      </c>
      <c r="I2017" t="s">
        <v>33</v>
      </c>
      <c r="J2017" t="s">
        <v>33</v>
      </c>
      <c r="L2017">
        <f t="shared" si="62"/>
        <v>2021</v>
      </c>
      <c r="M2017" t="str">
        <f t="shared" si="63"/>
        <v>COVID Period</v>
      </c>
    </row>
    <row r="2018" spans="1:13" x14ac:dyDescent="0.25">
      <c r="A2018" s="2">
        <v>44557</v>
      </c>
      <c r="B2018" t="s">
        <v>34</v>
      </c>
      <c r="C2018">
        <v>21</v>
      </c>
      <c r="D2018" s="3">
        <v>7.26</v>
      </c>
      <c r="E2018" s="3">
        <v>152.46</v>
      </c>
      <c r="F2018">
        <v>30</v>
      </c>
      <c r="G2018">
        <v>12</v>
      </c>
      <c r="H2018" s="4">
        <v>1.4</v>
      </c>
      <c r="I2018" t="s">
        <v>33</v>
      </c>
      <c r="J2018" t="s">
        <v>33</v>
      </c>
      <c r="L2018">
        <f t="shared" si="62"/>
        <v>2021</v>
      </c>
      <c r="M2018" t="str">
        <f t="shared" si="63"/>
        <v>COVID Period</v>
      </c>
    </row>
    <row r="2019" spans="1:13" x14ac:dyDescent="0.25">
      <c r="A2019" s="2">
        <v>44557</v>
      </c>
      <c r="B2019" t="s">
        <v>35</v>
      </c>
      <c r="C2019">
        <v>12</v>
      </c>
      <c r="D2019" s="3">
        <v>5.83</v>
      </c>
      <c r="E2019" s="3">
        <v>69.959999999999994</v>
      </c>
      <c r="F2019">
        <v>17</v>
      </c>
      <c r="G2019">
        <v>5</v>
      </c>
      <c r="H2019" s="4">
        <v>0.9</v>
      </c>
      <c r="I2019" t="s">
        <v>33</v>
      </c>
      <c r="J2019" t="s">
        <v>33</v>
      </c>
      <c r="L2019">
        <f t="shared" si="62"/>
        <v>2021</v>
      </c>
      <c r="M2019" t="str">
        <f t="shared" si="63"/>
        <v>COVID Period</v>
      </c>
    </row>
    <row r="2020" spans="1:13" x14ac:dyDescent="0.25">
      <c r="A2020" s="2">
        <v>44557</v>
      </c>
      <c r="B2020" t="s">
        <v>36</v>
      </c>
      <c r="C2020">
        <v>15</v>
      </c>
      <c r="D2020" s="3">
        <v>6.24</v>
      </c>
      <c r="E2020" s="3">
        <v>93.6</v>
      </c>
      <c r="F2020">
        <v>17</v>
      </c>
      <c r="G2020">
        <v>4</v>
      </c>
      <c r="H2020" s="4">
        <v>3.8</v>
      </c>
      <c r="I2020" t="s">
        <v>33</v>
      </c>
      <c r="J2020" t="s">
        <v>33</v>
      </c>
      <c r="L2020">
        <f t="shared" si="62"/>
        <v>2021</v>
      </c>
      <c r="M2020" t="str">
        <f t="shared" si="63"/>
        <v>COVID Period</v>
      </c>
    </row>
    <row r="2021" spans="1:13" x14ac:dyDescent="0.25">
      <c r="A2021" s="2">
        <v>44557</v>
      </c>
      <c r="B2021" t="s">
        <v>37</v>
      </c>
      <c r="C2021">
        <v>46</v>
      </c>
      <c r="D2021" s="3">
        <v>3.16</v>
      </c>
      <c r="E2021" s="3">
        <v>145.36000000000001</v>
      </c>
      <c r="F2021">
        <v>71</v>
      </c>
      <c r="G2021">
        <v>36</v>
      </c>
      <c r="H2021" s="4">
        <v>1.6</v>
      </c>
      <c r="I2021" t="s">
        <v>33</v>
      </c>
      <c r="J2021" t="s">
        <v>33</v>
      </c>
      <c r="L2021">
        <f t="shared" si="62"/>
        <v>2021</v>
      </c>
      <c r="M2021" t="str">
        <f t="shared" si="63"/>
        <v>COVID Period</v>
      </c>
    </row>
    <row r="2022" spans="1:13" x14ac:dyDescent="0.25">
      <c r="A2022" s="2">
        <v>44557</v>
      </c>
      <c r="B2022" t="s">
        <v>38</v>
      </c>
      <c r="C2022">
        <v>20</v>
      </c>
      <c r="D2022" s="3">
        <v>8.52</v>
      </c>
      <c r="E2022" s="3">
        <v>170.4</v>
      </c>
      <c r="F2022">
        <v>31</v>
      </c>
      <c r="G2022">
        <v>16</v>
      </c>
      <c r="H2022" s="4">
        <v>0.9</v>
      </c>
      <c r="I2022" t="s">
        <v>33</v>
      </c>
      <c r="J2022" t="s">
        <v>33</v>
      </c>
      <c r="L2022">
        <f t="shared" si="62"/>
        <v>2021</v>
      </c>
      <c r="M2022" t="str">
        <f t="shared" si="63"/>
        <v>COVID Period</v>
      </c>
    </row>
    <row r="2023" spans="1:13" x14ac:dyDescent="0.25">
      <c r="A2023" s="2">
        <v>44557</v>
      </c>
      <c r="B2023" t="s">
        <v>39</v>
      </c>
      <c r="C2023">
        <v>37</v>
      </c>
      <c r="D2023" s="3">
        <v>11.72</v>
      </c>
      <c r="E2023" s="3">
        <v>433.64</v>
      </c>
      <c r="F2023">
        <v>56</v>
      </c>
      <c r="G2023">
        <v>24</v>
      </c>
      <c r="H2023" s="4">
        <v>1</v>
      </c>
      <c r="I2023" t="s">
        <v>46</v>
      </c>
      <c r="J2023" t="s">
        <v>33</v>
      </c>
      <c r="K2023" t="s">
        <v>48</v>
      </c>
      <c r="L2023">
        <f t="shared" si="62"/>
        <v>2021</v>
      </c>
      <c r="M2023" t="str">
        <f t="shared" si="63"/>
        <v>COVID Period</v>
      </c>
    </row>
    <row r="2024" spans="1:13" x14ac:dyDescent="0.25">
      <c r="A2024" s="2">
        <v>44557</v>
      </c>
      <c r="B2024" t="s">
        <v>40</v>
      </c>
      <c r="C2024">
        <v>36</v>
      </c>
      <c r="D2024" s="3">
        <v>0.64</v>
      </c>
      <c r="E2024" s="3">
        <v>23.04</v>
      </c>
      <c r="F2024">
        <v>39</v>
      </c>
      <c r="G2024">
        <v>6</v>
      </c>
      <c r="H2024" s="4">
        <v>5.0999999999999996</v>
      </c>
      <c r="I2024" t="s">
        <v>46</v>
      </c>
      <c r="J2024" t="s">
        <v>33</v>
      </c>
      <c r="K2024" t="s">
        <v>47</v>
      </c>
      <c r="L2024">
        <f t="shared" si="62"/>
        <v>2021</v>
      </c>
      <c r="M2024" t="str">
        <f t="shared" si="63"/>
        <v>COVID Period</v>
      </c>
    </row>
    <row r="2025" spans="1:13" x14ac:dyDescent="0.25">
      <c r="A2025" s="2">
        <v>44557</v>
      </c>
      <c r="B2025" t="s">
        <v>41</v>
      </c>
      <c r="C2025">
        <v>21</v>
      </c>
      <c r="D2025" s="3">
        <v>1.31</v>
      </c>
      <c r="E2025" s="3">
        <v>27.51</v>
      </c>
      <c r="F2025">
        <v>31</v>
      </c>
      <c r="G2025">
        <v>15</v>
      </c>
      <c r="H2025" s="4">
        <v>1.7</v>
      </c>
      <c r="I2025" t="s">
        <v>46</v>
      </c>
      <c r="J2025" t="s">
        <v>33</v>
      </c>
      <c r="K2025" t="s">
        <v>47</v>
      </c>
      <c r="L2025">
        <f t="shared" si="62"/>
        <v>2021</v>
      </c>
      <c r="M2025" t="str">
        <f t="shared" si="63"/>
        <v>COVID Period</v>
      </c>
    </row>
    <row r="2026" spans="1:13" x14ac:dyDescent="0.25">
      <c r="A2026" s="2">
        <v>44557</v>
      </c>
      <c r="B2026" t="s">
        <v>42</v>
      </c>
      <c r="C2026">
        <v>22</v>
      </c>
      <c r="D2026" s="3">
        <v>4.16</v>
      </c>
      <c r="E2026" s="3">
        <v>91.52</v>
      </c>
      <c r="F2026">
        <v>24</v>
      </c>
      <c r="G2026">
        <v>4</v>
      </c>
      <c r="H2026" s="4">
        <v>4.0999999999999996</v>
      </c>
      <c r="I2026" t="s">
        <v>46</v>
      </c>
      <c r="J2026" t="s">
        <v>33</v>
      </c>
      <c r="K2026" t="s">
        <v>47</v>
      </c>
      <c r="L2026">
        <f t="shared" si="62"/>
        <v>2021</v>
      </c>
      <c r="M2026" t="str">
        <f t="shared" si="63"/>
        <v>COVID Period</v>
      </c>
    </row>
    <row r="2027" spans="1:13" x14ac:dyDescent="0.25">
      <c r="A2027" s="2">
        <v>44557</v>
      </c>
      <c r="B2027" t="s">
        <v>43</v>
      </c>
      <c r="C2027">
        <v>14</v>
      </c>
      <c r="D2027" s="3">
        <v>5.74</v>
      </c>
      <c r="E2027" s="3">
        <v>80.36</v>
      </c>
      <c r="F2027">
        <v>18</v>
      </c>
      <c r="G2027">
        <v>7</v>
      </c>
      <c r="H2027" s="4">
        <v>4.5</v>
      </c>
      <c r="I2027" t="s">
        <v>46</v>
      </c>
      <c r="J2027" t="s">
        <v>33</v>
      </c>
      <c r="L2027">
        <f t="shared" si="62"/>
        <v>2021</v>
      </c>
      <c r="M2027" t="str">
        <f t="shared" si="63"/>
        <v>COVID Period</v>
      </c>
    </row>
    <row r="2028" spans="1:13" x14ac:dyDescent="0.25">
      <c r="A2028" s="2">
        <v>44557</v>
      </c>
      <c r="B2028" t="s">
        <v>44</v>
      </c>
      <c r="C2028">
        <v>0</v>
      </c>
      <c r="D2028" s="3">
        <v>4.8099999999999996</v>
      </c>
      <c r="E2028" s="3">
        <v>0</v>
      </c>
      <c r="F2028">
        <v>3</v>
      </c>
      <c r="G2028">
        <v>3</v>
      </c>
      <c r="H2028" s="4">
        <v>3.5</v>
      </c>
      <c r="I2028" t="s">
        <v>46</v>
      </c>
      <c r="J2028" t="s">
        <v>33</v>
      </c>
      <c r="K2028" t="s">
        <v>47</v>
      </c>
      <c r="L2028">
        <f t="shared" si="62"/>
        <v>2021</v>
      </c>
      <c r="M2028" t="str">
        <f t="shared" si="63"/>
        <v>COVID Period</v>
      </c>
    </row>
    <row r="2029" spans="1:13" x14ac:dyDescent="0.25">
      <c r="A2029" s="2">
        <v>44557</v>
      </c>
      <c r="B2029" t="s">
        <v>45</v>
      </c>
      <c r="C2029">
        <v>0</v>
      </c>
      <c r="D2029" s="3">
        <v>15.3</v>
      </c>
      <c r="E2029" s="3">
        <v>0</v>
      </c>
      <c r="F2029">
        <v>3</v>
      </c>
      <c r="G2029">
        <v>4</v>
      </c>
      <c r="H2029" s="4">
        <v>2.2000000000000002</v>
      </c>
      <c r="I2029" t="s">
        <v>46</v>
      </c>
      <c r="J2029" t="s">
        <v>33</v>
      </c>
      <c r="L2029">
        <f t="shared" si="62"/>
        <v>2021</v>
      </c>
      <c r="M2029" t="str">
        <f t="shared" si="63"/>
        <v>COVID Period</v>
      </c>
    </row>
    <row r="2030" spans="1:13" x14ac:dyDescent="0.25">
      <c r="A2030" s="2">
        <v>44564</v>
      </c>
      <c r="B2030" t="s">
        <v>32</v>
      </c>
      <c r="C2030">
        <v>24</v>
      </c>
      <c r="D2030" s="3">
        <v>6.88</v>
      </c>
      <c r="E2030" s="3">
        <v>165.12</v>
      </c>
      <c r="F2030">
        <v>35</v>
      </c>
      <c r="G2030">
        <v>15</v>
      </c>
      <c r="H2030" s="4">
        <v>1.3</v>
      </c>
      <c r="I2030" t="s">
        <v>33</v>
      </c>
      <c r="J2030" t="s">
        <v>33</v>
      </c>
      <c r="L2030">
        <f t="shared" si="62"/>
        <v>2022</v>
      </c>
      <c r="M2030" t="str">
        <f t="shared" si="63"/>
        <v>COVID Period</v>
      </c>
    </row>
    <row r="2031" spans="1:13" x14ac:dyDescent="0.25">
      <c r="A2031" s="2">
        <v>44564</v>
      </c>
      <c r="B2031" t="s">
        <v>34</v>
      </c>
      <c r="C2031">
        <v>16</v>
      </c>
      <c r="D2031" s="3">
        <v>7.33</v>
      </c>
      <c r="E2031" s="3">
        <v>117.28</v>
      </c>
      <c r="F2031">
        <v>24</v>
      </c>
      <c r="G2031">
        <v>9</v>
      </c>
      <c r="H2031" s="4">
        <v>2.8</v>
      </c>
      <c r="I2031" t="s">
        <v>33</v>
      </c>
      <c r="J2031" t="s">
        <v>33</v>
      </c>
      <c r="L2031">
        <f t="shared" si="62"/>
        <v>2022</v>
      </c>
      <c r="M2031" t="str">
        <f t="shared" si="63"/>
        <v>COVID Period</v>
      </c>
    </row>
    <row r="2032" spans="1:13" x14ac:dyDescent="0.25">
      <c r="A2032" s="2">
        <v>44564</v>
      </c>
      <c r="B2032" t="s">
        <v>35</v>
      </c>
      <c r="C2032">
        <v>16</v>
      </c>
      <c r="D2032" s="3">
        <v>6.03</v>
      </c>
      <c r="E2032" s="3">
        <v>96.48</v>
      </c>
      <c r="F2032">
        <v>19</v>
      </c>
      <c r="G2032">
        <v>5</v>
      </c>
      <c r="H2032" s="4">
        <v>2.9</v>
      </c>
      <c r="I2032" t="s">
        <v>33</v>
      </c>
      <c r="J2032" t="s">
        <v>33</v>
      </c>
      <c r="L2032">
        <f t="shared" si="62"/>
        <v>2022</v>
      </c>
      <c r="M2032" t="str">
        <f t="shared" si="63"/>
        <v>COVID Period</v>
      </c>
    </row>
    <row r="2033" spans="1:13" x14ac:dyDescent="0.25">
      <c r="A2033" s="2">
        <v>44564</v>
      </c>
      <c r="B2033" t="s">
        <v>36</v>
      </c>
      <c r="C2033">
        <v>13</v>
      </c>
      <c r="D2033" s="3">
        <v>6.23</v>
      </c>
      <c r="E2033" s="3">
        <v>80.989999999999995</v>
      </c>
      <c r="F2033">
        <v>21</v>
      </c>
      <c r="G2033">
        <v>11</v>
      </c>
      <c r="H2033" s="4">
        <v>1.8</v>
      </c>
      <c r="I2033" t="s">
        <v>33</v>
      </c>
      <c r="J2033" t="s">
        <v>33</v>
      </c>
      <c r="L2033">
        <f t="shared" si="62"/>
        <v>2022</v>
      </c>
      <c r="M2033" t="str">
        <f t="shared" si="63"/>
        <v>COVID Period</v>
      </c>
    </row>
    <row r="2034" spans="1:13" x14ac:dyDescent="0.25">
      <c r="A2034" s="2">
        <v>44564</v>
      </c>
      <c r="B2034" t="s">
        <v>37</v>
      </c>
      <c r="C2034">
        <v>43</v>
      </c>
      <c r="D2034" s="3">
        <v>3.27</v>
      </c>
      <c r="E2034" s="3">
        <v>140.61000000000001</v>
      </c>
      <c r="F2034">
        <v>58</v>
      </c>
      <c r="G2034">
        <v>21</v>
      </c>
      <c r="H2034" s="4">
        <v>0.7</v>
      </c>
      <c r="I2034" t="s">
        <v>33</v>
      </c>
      <c r="J2034" t="s">
        <v>33</v>
      </c>
      <c r="L2034">
        <f t="shared" si="62"/>
        <v>2022</v>
      </c>
      <c r="M2034" t="str">
        <f t="shared" si="63"/>
        <v>COVID Period</v>
      </c>
    </row>
    <row r="2035" spans="1:13" x14ac:dyDescent="0.25">
      <c r="A2035" s="2">
        <v>44564</v>
      </c>
      <c r="B2035" t="s">
        <v>38</v>
      </c>
      <c r="C2035">
        <v>11</v>
      </c>
      <c r="D2035" s="3">
        <v>8.35</v>
      </c>
      <c r="E2035" s="3">
        <v>91.85</v>
      </c>
      <c r="F2035">
        <v>12</v>
      </c>
      <c r="G2035">
        <v>1</v>
      </c>
      <c r="H2035" s="4">
        <v>1.7</v>
      </c>
      <c r="I2035" t="s">
        <v>33</v>
      </c>
      <c r="J2035" t="s">
        <v>33</v>
      </c>
      <c r="L2035">
        <f t="shared" si="62"/>
        <v>2022</v>
      </c>
      <c r="M2035" t="str">
        <f t="shared" si="63"/>
        <v>COVID Period</v>
      </c>
    </row>
    <row r="2036" spans="1:13" x14ac:dyDescent="0.25">
      <c r="A2036" s="2">
        <v>44564</v>
      </c>
      <c r="B2036" t="s">
        <v>39</v>
      </c>
      <c r="C2036">
        <v>35</v>
      </c>
      <c r="D2036" s="3">
        <v>11.55</v>
      </c>
      <c r="E2036" s="3">
        <v>404.25</v>
      </c>
      <c r="F2036">
        <v>56</v>
      </c>
      <c r="G2036">
        <v>26</v>
      </c>
      <c r="H2036" s="4">
        <v>2</v>
      </c>
      <c r="I2036" t="s">
        <v>33</v>
      </c>
      <c r="J2036" t="s">
        <v>33</v>
      </c>
      <c r="L2036">
        <f t="shared" si="62"/>
        <v>2022</v>
      </c>
      <c r="M2036" t="str">
        <f t="shared" si="63"/>
        <v>COVID Period</v>
      </c>
    </row>
    <row r="2037" spans="1:13" x14ac:dyDescent="0.25">
      <c r="A2037" s="2">
        <v>44564</v>
      </c>
      <c r="B2037" t="s">
        <v>40</v>
      </c>
      <c r="C2037">
        <v>33</v>
      </c>
      <c r="D2037" s="3">
        <v>0.68</v>
      </c>
      <c r="E2037" s="3">
        <v>22.44</v>
      </c>
      <c r="F2037">
        <v>45</v>
      </c>
      <c r="G2037">
        <v>16</v>
      </c>
      <c r="H2037" s="4">
        <v>2.4</v>
      </c>
      <c r="I2037" t="s">
        <v>46</v>
      </c>
      <c r="J2037" t="s">
        <v>33</v>
      </c>
      <c r="K2037" t="s">
        <v>47</v>
      </c>
      <c r="L2037">
        <f t="shared" si="62"/>
        <v>2022</v>
      </c>
      <c r="M2037" t="str">
        <f t="shared" si="63"/>
        <v>COVID Period</v>
      </c>
    </row>
    <row r="2038" spans="1:13" x14ac:dyDescent="0.25">
      <c r="A2038" s="2">
        <v>44564</v>
      </c>
      <c r="B2038" t="s">
        <v>41</v>
      </c>
      <c r="C2038">
        <v>11</v>
      </c>
      <c r="D2038" s="3">
        <v>1.31</v>
      </c>
      <c r="E2038" s="3">
        <v>14.41</v>
      </c>
      <c r="F2038">
        <v>14</v>
      </c>
      <c r="G2038">
        <v>3</v>
      </c>
      <c r="H2038" s="4">
        <v>3.3</v>
      </c>
      <c r="I2038" t="s">
        <v>46</v>
      </c>
      <c r="J2038" t="s">
        <v>33</v>
      </c>
      <c r="K2038" t="s">
        <v>47</v>
      </c>
      <c r="L2038">
        <f t="shared" si="62"/>
        <v>2022</v>
      </c>
      <c r="M2038" t="str">
        <f t="shared" si="63"/>
        <v>COVID Period</v>
      </c>
    </row>
    <row r="2039" spans="1:13" x14ac:dyDescent="0.25">
      <c r="A2039" s="2">
        <v>44564</v>
      </c>
      <c r="B2039" t="s">
        <v>42</v>
      </c>
      <c r="C2039">
        <v>22</v>
      </c>
      <c r="D2039" s="3">
        <v>4.3499999999999996</v>
      </c>
      <c r="E2039" s="3">
        <v>95.7</v>
      </c>
      <c r="F2039">
        <v>36</v>
      </c>
      <c r="G2039">
        <v>20</v>
      </c>
      <c r="H2039" s="4">
        <v>4.0999999999999996</v>
      </c>
      <c r="I2039" t="s">
        <v>46</v>
      </c>
      <c r="J2039" t="s">
        <v>33</v>
      </c>
      <c r="K2039" t="s">
        <v>47</v>
      </c>
      <c r="L2039">
        <f t="shared" si="62"/>
        <v>2022</v>
      </c>
      <c r="M2039" t="str">
        <f t="shared" si="63"/>
        <v>COVID Period</v>
      </c>
    </row>
    <row r="2040" spans="1:13" x14ac:dyDescent="0.25">
      <c r="A2040" s="2">
        <v>44564</v>
      </c>
      <c r="B2040" t="s">
        <v>43</v>
      </c>
      <c r="C2040">
        <v>13</v>
      </c>
      <c r="D2040" s="3">
        <v>5.52</v>
      </c>
      <c r="E2040" s="3">
        <v>71.760000000000005</v>
      </c>
      <c r="F2040">
        <v>19</v>
      </c>
      <c r="G2040">
        <v>8</v>
      </c>
      <c r="H2040" s="4">
        <v>0.9</v>
      </c>
      <c r="I2040" t="s">
        <v>46</v>
      </c>
      <c r="J2040" t="s">
        <v>33</v>
      </c>
      <c r="L2040">
        <f t="shared" si="62"/>
        <v>2022</v>
      </c>
      <c r="M2040" t="str">
        <f t="shared" si="63"/>
        <v>COVID Period</v>
      </c>
    </row>
    <row r="2041" spans="1:13" x14ac:dyDescent="0.25">
      <c r="A2041" s="2">
        <v>44564</v>
      </c>
      <c r="B2041" t="s">
        <v>44</v>
      </c>
      <c r="C2041">
        <v>1</v>
      </c>
      <c r="D2041" s="3">
        <v>4.83</v>
      </c>
      <c r="E2041" s="3">
        <v>4.83</v>
      </c>
      <c r="F2041">
        <v>3</v>
      </c>
      <c r="G2041">
        <v>2</v>
      </c>
      <c r="H2041" s="4">
        <v>1.1000000000000001</v>
      </c>
      <c r="I2041" t="s">
        <v>46</v>
      </c>
      <c r="J2041" t="s">
        <v>33</v>
      </c>
      <c r="K2041" t="s">
        <v>47</v>
      </c>
      <c r="L2041">
        <f t="shared" si="62"/>
        <v>2022</v>
      </c>
      <c r="M2041" t="str">
        <f t="shared" si="63"/>
        <v>COVID Period</v>
      </c>
    </row>
    <row r="2042" spans="1:13" x14ac:dyDescent="0.25">
      <c r="A2042" s="2">
        <v>44564</v>
      </c>
      <c r="B2042" t="s">
        <v>45</v>
      </c>
      <c r="C2042">
        <v>0</v>
      </c>
      <c r="D2042" s="3">
        <v>14.83</v>
      </c>
      <c r="E2042" s="3">
        <v>0</v>
      </c>
      <c r="F2042">
        <v>3</v>
      </c>
      <c r="G2042">
        <v>3</v>
      </c>
      <c r="H2042" s="4">
        <v>2.2999999999999998</v>
      </c>
      <c r="I2042" t="s">
        <v>46</v>
      </c>
      <c r="J2042" t="s">
        <v>33</v>
      </c>
      <c r="L2042">
        <f t="shared" si="62"/>
        <v>2022</v>
      </c>
      <c r="M2042" t="str">
        <f t="shared" si="63"/>
        <v>COVID Period</v>
      </c>
    </row>
    <row r="2043" spans="1:13" x14ac:dyDescent="0.25">
      <c r="A2043" s="2">
        <v>44571</v>
      </c>
      <c r="B2043" t="s">
        <v>32</v>
      </c>
      <c r="C2043">
        <v>34</v>
      </c>
      <c r="D2043" s="3">
        <v>6.75</v>
      </c>
      <c r="E2043" s="3">
        <v>229.5</v>
      </c>
      <c r="F2043">
        <v>38</v>
      </c>
      <c r="G2043">
        <v>5</v>
      </c>
      <c r="H2043" s="4">
        <v>2.9</v>
      </c>
      <c r="I2043" t="s">
        <v>46</v>
      </c>
      <c r="J2043" t="s">
        <v>33</v>
      </c>
      <c r="L2043">
        <f t="shared" si="62"/>
        <v>2022</v>
      </c>
      <c r="M2043" t="str">
        <f t="shared" si="63"/>
        <v>COVID Period</v>
      </c>
    </row>
    <row r="2044" spans="1:13" x14ac:dyDescent="0.25">
      <c r="A2044" s="2">
        <v>44571</v>
      </c>
      <c r="B2044" t="s">
        <v>34</v>
      </c>
      <c r="C2044">
        <v>24</v>
      </c>
      <c r="D2044" s="3">
        <v>7.17</v>
      </c>
      <c r="E2044" s="3">
        <v>172.08</v>
      </c>
      <c r="F2044">
        <v>37</v>
      </c>
      <c r="G2044">
        <v>13</v>
      </c>
      <c r="H2044" s="4">
        <v>0</v>
      </c>
      <c r="I2044" t="s">
        <v>33</v>
      </c>
      <c r="J2044" t="s">
        <v>33</v>
      </c>
      <c r="L2044">
        <f t="shared" si="62"/>
        <v>2022</v>
      </c>
      <c r="M2044" t="str">
        <f t="shared" si="63"/>
        <v>COVID Period</v>
      </c>
    </row>
    <row r="2045" spans="1:13" x14ac:dyDescent="0.25">
      <c r="A2045" s="2">
        <v>44571</v>
      </c>
      <c r="B2045" t="s">
        <v>35</v>
      </c>
      <c r="C2045">
        <v>15</v>
      </c>
      <c r="D2045" s="3">
        <v>5.74</v>
      </c>
      <c r="E2045" s="3">
        <v>86.1</v>
      </c>
      <c r="F2045">
        <v>15</v>
      </c>
      <c r="G2045">
        <v>0</v>
      </c>
      <c r="H2045" s="4">
        <v>1.8</v>
      </c>
      <c r="I2045" t="s">
        <v>33</v>
      </c>
      <c r="J2045" t="s">
        <v>33</v>
      </c>
      <c r="L2045">
        <f t="shared" si="62"/>
        <v>2022</v>
      </c>
      <c r="M2045" t="str">
        <f t="shared" si="63"/>
        <v>COVID Period</v>
      </c>
    </row>
    <row r="2046" spans="1:13" x14ac:dyDescent="0.25">
      <c r="A2046" s="2">
        <v>44571</v>
      </c>
      <c r="B2046" t="s">
        <v>36</v>
      </c>
      <c r="C2046">
        <v>13</v>
      </c>
      <c r="D2046" s="3">
        <v>6.33</v>
      </c>
      <c r="E2046" s="3">
        <v>82.29</v>
      </c>
      <c r="F2046">
        <v>14</v>
      </c>
      <c r="G2046">
        <v>1</v>
      </c>
      <c r="H2046" s="4">
        <v>2.5</v>
      </c>
      <c r="I2046" t="s">
        <v>33</v>
      </c>
      <c r="J2046" t="s">
        <v>33</v>
      </c>
      <c r="L2046">
        <f t="shared" si="62"/>
        <v>2022</v>
      </c>
      <c r="M2046" t="str">
        <f t="shared" si="63"/>
        <v>COVID Period</v>
      </c>
    </row>
    <row r="2047" spans="1:13" x14ac:dyDescent="0.25">
      <c r="A2047" s="2">
        <v>44571</v>
      </c>
      <c r="B2047" t="s">
        <v>37</v>
      </c>
      <c r="C2047">
        <v>25</v>
      </c>
      <c r="D2047" s="3">
        <v>3.25</v>
      </c>
      <c r="E2047" s="3">
        <v>81.25</v>
      </c>
      <c r="F2047">
        <v>29</v>
      </c>
      <c r="G2047">
        <v>7</v>
      </c>
      <c r="H2047" s="4">
        <v>0.6</v>
      </c>
      <c r="I2047" t="s">
        <v>33</v>
      </c>
      <c r="J2047" t="s">
        <v>33</v>
      </c>
      <c r="L2047">
        <f t="shared" si="62"/>
        <v>2022</v>
      </c>
      <c r="M2047" t="str">
        <f t="shared" si="63"/>
        <v>COVID Period</v>
      </c>
    </row>
    <row r="2048" spans="1:13" x14ac:dyDescent="0.25">
      <c r="A2048" s="2">
        <v>44571</v>
      </c>
      <c r="B2048" t="s">
        <v>38</v>
      </c>
      <c r="C2048">
        <v>19</v>
      </c>
      <c r="D2048" s="3">
        <v>8.91</v>
      </c>
      <c r="E2048" s="3">
        <v>169.29</v>
      </c>
      <c r="F2048">
        <v>31</v>
      </c>
      <c r="G2048">
        <v>13</v>
      </c>
      <c r="H2048" s="4">
        <v>1.9</v>
      </c>
      <c r="I2048" t="s">
        <v>33</v>
      </c>
      <c r="J2048" t="s">
        <v>33</v>
      </c>
      <c r="L2048">
        <f t="shared" si="62"/>
        <v>2022</v>
      </c>
      <c r="M2048" t="str">
        <f t="shared" si="63"/>
        <v>COVID Period</v>
      </c>
    </row>
    <row r="2049" spans="1:13" x14ac:dyDescent="0.25">
      <c r="A2049" s="2">
        <v>44571</v>
      </c>
      <c r="B2049" t="s">
        <v>39</v>
      </c>
      <c r="C2049">
        <v>18</v>
      </c>
      <c r="D2049" s="3">
        <v>11.31</v>
      </c>
      <c r="E2049" s="3">
        <v>203.58</v>
      </c>
      <c r="F2049">
        <v>30</v>
      </c>
      <c r="G2049">
        <v>16</v>
      </c>
      <c r="H2049" s="4">
        <v>1</v>
      </c>
      <c r="I2049" t="s">
        <v>33</v>
      </c>
      <c r="J2049" t="s">
        <v>33</v>
      </c>
      <c r="L2049">
        <f t="shared" si="62"/>
        <v>2022</v>
      </c>
      <c r="M2049" t="str">
        <f t="shared" si="63"/>
        <v>COVID Period</v>
      </c>
    </row>
    <row r="2050" spans="1:13" x14ac:dyDescent="0.25">
      <c r="A2050" s="2">
        <v>44571</v>
      </c>
      <c r="B2050" t="s">
        <v>40</v>
      </c>
      <c r="C2050">
        <v>20</v>
      </c>
      <c r="D2050" s="3">
        <v>0.64</v>
      </c>
      <c r="E2050" s="3">
        <v>12.8</v>
      </c>
      <c r="F2050">
        <v>29</v>
      </c>
      <c r="G2050">
        <v>12</v>
      </c>
      <c r="H2050" s="4">
        <v>1</v>
      </c>
      <c r="I2050" t="s">
        <v>46</v>
      </c>
      <c r="J2050" t="s">
        <v>33</v>
      </c>
      <c r="K2050" t="s">
        <v>47</v>
      </c>
      <c r="L2050">
        <f t="shared" ref="L2050:L2113" si="64">YEAR(A2050)</f>
        <v>2022</v>
      </c>
      <c r="M2050" t="str">
        <f t="shared" ref="M2050:M2113" si="65">IF(L2050=2019,"Pre-COVID","COVID Period")</f>
        <v>COVID Period</v>
      </c>
    </row>
    <row r="2051" spans="1:13" x14ac:dyDescent="0.25">
      <c r="A2051" s="2">
        <v>44571</v>
      </c>
      <c r="B2051" t="s">
        <v>41</v>
      </c>
      <c r="C2051">
        <v>19</v>
      </c>
      <c r="D2051" s="3">
        <v>1.33</v>
      </c>
      <c r="E2051" s="3">
        <v>25.27</v>
      </c>
      <c r="F2051">
        <v>23</v>
      </c>
      <c r="G2051">
        <v>5</v>
      </c>
      <c r="H2051" s="4">
        <v>4.3</v>
      </c>
      <c r="I2051" t="s">
        <v>46</v>
      </c>
      <c r="J2051" t="s">
        <v>33</v>
      </c>
      <c r="K2051" t="s">
        <v>47</v>
      </c>
      <c r="L2051">
        <f t="shared" si="64"/>
        <v>2022</v>
      </c>
      <c r="M2051" t="str">
        <f t="shared" si="65"/>
        <v>COVID Period</v>
      </c>
    </row>
    <row r="2052" spans="1:13" x14ac:dyDescent="0.25">
      <c r="A2052" s="2">
        <v>44571</v>
      </c>
      <c r="B2052" t="s">
        <v>42</v>
      </c>
      <c r="C2052">
        <v>25</v>
      </c>
      <c r="D2052" s="3">
        <v>4.2699999999999996</v>
      </c>
      <c r="E2052" s="3">
        <v>106.75</v>
      </c>
      <c r="F2052">
        <v>28</v>
      </c>
      <c r="G2052">
        <v>7</v>
      </c>
      <c r="H2052" s="4">
        <v>0.7</v>
      </c>
      <c r="I2052" t="s">
        <v>46</v>
      </c>
      <c r="J2052" t="s">
        <v>33</v>
      </c>
      <c r="K2052" t="s">
        <v>47</v>
      </c>
      <c r="L2052">
        <f t="shared" si="64"/>
        <v>2022</v>
      </c>
      <c r="M2052" t="str">
        <f t="shared" si="65"/>
        <v>COVID Period</v>
      </c>
    </row>
    <row r="2053" spans="1:13" x14ac:dyDescent="0.25">
      <c r="A2053" s="2">
        <v>44571</v>
      </c>
      <c r="B2053" t="s">
        <v>43</v>
      </c>
      <c r="C2053">
        <v>11</v>
      </c>
      <c r="D2053" s="3">
        <v>5.71</v>
      </c>
      <c r="E2053" s="3">
        <v>62.81</v>
      </c>
      <c r="F2053">
        <v>12</v>
      </c>
      <c r="G2053">
        <v>3</v>
      </c>
      <c r="H2053" s="4">
        <v>3.4</v>
      </c>
      <c r="I2053" t="s">
        <v>46</v>
      </c>
      <c r="J2053" t="s">
        <v>33</v>
      </c>
      <c r="L2053">
        <f t="shared" si="64"/>
        <v>2022</v>
      </c>
      <c r="M2053" t="str">
        <f t="shared" si="65"/>
        <v>COVID Period</v>
      </c>
    </row>
    <row r="2054" spans="1:13" x14ac:dyDescent="0.25">
      <c r="A2054" s="2">
        <v>44571</v>
      </c>
      <c r="B2054" t="s">
        <v>44</v>
      </c>
      <c r="C2054">
        <v>0</v>
      </c>
      <c r="D2054" s="3">
        <v>4.6100000000000003</v>
      </c>
      <c r="E2054" s="3">
        <v>0</v>
      </c>
      <c r="F2054">
        <v>3</v>
      </c>
      <c r="G2054">
        <v>3</v>
      </c>
      <c r="H2054" s="4">
        <v>1</v>
      </c>
      <c r="I2054" t="s">
        <v>46</v>
      </c>
      <c r="J2054" t="s">
        <v>33</v>
      </c>
      <c r="K2054" t="s">
        <v>47</v>
      </c>
      <c r="L2054">
        <f t="shared" si="64"/>
        <v>2022</v>
      </c>
      <c r="M2054" t="str">
        <f t="shared" si="65"/>
        <v>COVID Period</v>
      </c>
    </row>
    <row r="2055" spans="1:13" x14ac:dyDescent="0.25">
      <c r="A2055" s="2">
        <v>44571</v>
      </c>
      <c r="B2055" t="s">
        <v>45</v>
      </c>
      <c r="C2055">
        <v>0</v>
      </c>
      <c r="D2055" s="3">
        <v>14.88</v>
      </c>
      <c r="E2055" s="3">
        <v>0</v>
      </c>
      <c r="F2055">
        <v>3</v>
      </c>
      <c r="G2055">
        <v>3</v>
      </c>
      <c r="H2055" s="4">
        <v>1.6</v>
      </c>
      <c r="I2055" t="s">
        <v>46</v>
      </c>
      <c r="J2055" t="s">
        <v>33</v>
      </c>
      <c r="L2055">
        <f t="shared" si="64"/>
        <v>2022</v>
      </c>
      <c r="M2055" t="str">
        <f t="shared" si="65"/>
        <v>COVID Period</v>
      </c>
    </row>
    <row r="2056" spans="1:13" x14ac:dyDescent="0.25">
      <c r="A2056" s="2">
        <v>44578</v>
      </c>
      <c r="B2056" t="s">
        <v>32</v>
      </c>
      <c r="C2056">
        <v>24</v>
      </c>
      <c r="D2056" s="3">
        <v>6.59</v>
      </c>
      <c r="E2056" s="3">
        <v>158.16</v>
      </c>
      <c r="F2056">
        <v>34</v>
      </c>
      <c r="G2056">
        <v>13</v>
      </c>
      <c r="H2056" s="4">
        <v>1.4</v>
      </c>
      <c r="I2056" t="s">
        <v>33</v>
      </c>
      <c r="J2056" t="s">
        <v>33</v>
      </c>
      <c r="L2056">
        <f t="shared" si="64"/>
        <v>2022</v>
      </c>
      <c r="M2056" t="str">
        <f t="shared" si="65"/>
        <v>COVID Period</v>
      </c>
    </row>
    <row r="2057" spans="1:13" x14ac:dyDescent="0.25">
      <c r="A2057" s="2">
        <v>44578</v>
      </c>
      <c r="B2057" t="s">
        <v>34</v>
      </c>
      <c r="C2057">
        <v>19</v>
      </c>
      <c r="D2057" s="3">
        <v>7.07</v>
      </c>
      <c r="E2057" s="3">
        <v>134.33000000000001</v>
      </c>
      <c r="F2057">
        <v>23</v>
      </c>
      <c r="G2057">
        <v>6</v>
      </c>
      <c r="H2057" s="4">
        <v>1.9</v>
      </c>
      <c r="I2057" t="s">
        <v>33</v>
      </c>
      <c r="J2057" t="s">
        <v>33</v>
      </c>
      <c r="L2057">
        <f t="shared" si="64"/>
        <v>2022</v>
      </c>
      <c r="M2057" t="str">
        <f t="shared" si="65"/>
        <v>COVID Period</v>
      </c>
    </row>
    <row r="2058" spans="1:13" x14ac:dyDescent="0.25">
      <c r="A2058" s="2">
        <v>44578</v>
      </c>
      <c r="B2058" t="s">
        <v>35</v>
      </c>
      <c r="C2058">
        <v>16</v>
      </c>
      <c r="D2058" s="3">
        <v>6.03</v>
      </c>
      <c r="E2058" s="3">
        <v>96.48</v>
      </c>
      <c r="F2058">
        <v>24</v>
      </c>
      <c r="G2058">
        <v>8</v>
      </c>
      <c r="H2058" s="4">
        <v>2</v>
      </c>
      <c r="I2058" t="s">
        <v>33</v>
      </c>
      <c r="J2058" t="s">
        <v>33</v>
      </c>
      <c r="L2058">
        <f t="shared" si="64"/>
        <v>2022</v>
      </c>
      <c r="M2058" t="str">
        <f t="shared" si="65"/>
        <v>COVID Period</v>
      </c>
    </row>
    <row r="2059" spans="1:13" x14ac:dyDescent="0.25">
      <c r="A2059" s="2">
        <v>44578</v>
      </c>
      <c r="B2059" t="s">
        <v>36</v>
      </c>
      <c r="C2059">
        <v>11</v>
      </c>
      <c r="D2059" s="3">
        <v>6.19</v>
      </c>
      <c r="E2059" s="3">
        <v>68.09</v>
      </c>
      <c r="F2059">
        <v>13</v>
      </c>
      <c r="G2059">
        <v>2</v>
      </c>
      <c r="H2059" s="4">
        <v>0.5</v>
      </c>
      <c r="I2059" t="s">
        <v>33</v>
      </c>
      <c r="J2059" t="s">
        <v>33</v>
      </c>
      <c r="L2059">
        <f t="shared" si="64"/>
        <v>2022</v>
      </c>
      <c r="M2059" t="str">
        <f t="shared" si="65"/>
        <v>COVID Period</v>
      </c>
    </row>
    <row r="2060" spans="1:13" x14ac:dyDescent="0.25">
      <c r="A2060" s="2">
        <v>44578</v>
      </c>
      <c r="B2060" t="s">
        <v>37</v>
      </c>
      <c r="C2060">
        <v>28</v>
      </c>
      <c r="D2060" s="3">
        <v>3.19</v>
      </c>
      <c r="E2060" s="3">
        <v>89.32</v>
      </c>
      <c r="F2060">
        <v>46</v>
      </c>
      <c r="G2060">
        <v>18</v>
      </c>
      <c r="H2060" s="4">
        <v>1.3</v>
      </c>
      <c r="I2060" t="s">
        <v>33</v>
      </c>
      <c r="J2060" t="s">
        <v>33</v>
      </c>
      <c r="L2060">
        <f t="shared" si="64"/>
        <v>2022</v>
      </c>
      <c r="M2060" t="str">
        <f t="shared" si="65"/>
        <v>COVID Period</v>
      </c>
    </row>
    <row r="2061" spans="1:13" x14ac:dyDescent="0.25">
      <c r="A2061" s="2">
        <v>44578</v>
      </c>
      <c r="B2061" t="s">
        <v>38</v>
      </c>
      <c r="C2061">
        <v>20</v>
      </c>
      <c r="D2061" s="3">
        <v>8.7899999999999991</v>
      </c>
      <c r="E2061" s="3">
        <v>175.8</v>
      </c>
      <c r="F2061">
        <v>30</v>
      </c>
      <c r="G2061">
        <v>10</v>
      </c>
      <c r="H2061" s="4">
        <v>1.5</v>
      </c>
      <c r="I2061" t="s">
        <v>33</v>
      </c>
      <c r="J2061" t="s">
        <v>33</v>
      </c>
      <c r="L2061">
        <f t="shared" si="64"/>
        <v>2022</v>
      </c>
      <c r="M2061" t="str">
        <f t="shared" si="65"/>
        <v>COVID Period</v>
      </c>
    </row>
    <row r="2062" spans="1:13" x14ac:dyDescent="0.25">
      <c r="A2062" s="2">
        <v>44578</v>
      </c>
      <c r="B2062" t="s">
        <v>39</v>
      </c>
      <c r="C2062">
        <v>40</v>
      </c>
      <c r="D2062" s="3">
        <v>11.77</v>
      </c>
      <c r="E2062" s="3">
        <v>470.8</v>
      </c>
      <c r="F2062">
        <v>57</v>
      </c>
      <c r="G2062">
        <v>26</v>
      </c>
      <c r="H2062" s="4">
        <v>2.5</v>
      </c>
      <c r="I2062" t="s">
        <v>46</v>
      </c>
      <c r="J2062" t="s">
        <v>33</v>
      </c>
      <c r="K2062" t="s">
        <v>48</v>
      </c>
      <c r="L2062">
        <f t="shared" si="64"/>
        <v>2022</v>
      </c>
      <c r="M2062" t="str">
        <f t="shared" si="65"/>
        <v>COVID Period</v>
      </c>
    </row>
    <row r="2063" spans="1:13" x14ac:dyDescent="0.25">
      <c r="A2063" s="2">
        <v>44578</v>
      </c>
      <c r="B2063" t="s">
        <v>40</v>
      </c>
      <c r="C2063">
        <v>30</v>
      </c>
      <c r="D2063" s="3">
        <v>0.67</v>
      </c>
      <c r="E2063" s="3">
        <v>20.100000000000001</v>
      </c>
      <c r="F2063">
        <v>35</v>
      </c>
      <c r="G2063">
        <v>6</v>
      </c>
      <c r="H2063" s="4">
        <v>2.9</v>
      </c>
      <c r="I2063" t="s">
        <v>46</v>
      </c>
      <c r="J2063" t="s">
        <v>33</v>
      </c>
      <c r="K2063" t="s">
        <v>47</v>
      </c>
      <c r="L2063">
        <f t="shared" si="64"/>
        <v>2022</v>
      </c>
      <c r="M2063" t="str">
        <f t="shared" si="65"/>
        <v>COVID Period</v>
      </c>
    </row>
    <row r="2064" spans="1:13" x14ac:dyDescent="0.25">
      <c r="A2064" s="2">
        <v>44578</v>
      </c>
      <c r="B2064" t="s">
        <v>41</v>
      </c>
      <c r="C2064">
        <v>13</v>
      </c>
      <c r="D2064" s="3">
        <v>1.4</v>
      </c>
      <c r="E2064" s="3">
        <v>18.2</v>
      </c>
      <c r="F2064">
        <v>18</v>
      </c>
      <c r="G2064">
        <v>8</v>
      </c>
      <c r="H2064" s="4">
        <v>4.8</v>
      </c>
      <c r="I2064" t="s">
        <v>46</v>
      </c>
      <c r="J2064" t="s">
        <v>33</v>
      </c>
      <c r="K2064" t="s">
        <v>47</v>
      </c>
      <c r="L2064">
        <f t="shared" si="64"/>
        <v>2022</v>
      </c>
      <c r="M2064" t="str">
        <f t="shared" si="65"/>
        <v>COVID Period</v>
      </c>
    </row>
    <row r="2065" spans="1:13" x14ac:dyDescent="0.25">
      <c r="A2065" s="2">
        <v>44578</v>
      </c>
      <c r="B2065" t="s">
        <v>42</v>
      </c>
      <c r="C2065">
        <v>13</v>
      </c>
      <c r="D2065" s="3">
        <v>4.29</v>
      </c>
      <c r="E2065" s="3">
        <v>55.77</v>
      </c>
      <c r="F2065">
        <v>16</v>
      </c>
      <c r="G2065">
        <v>5</v>
      </c>
      <c r="H2065" s="4">
        <v>3.3</v>
      </c>
      <c r="I2065" t="s">
        <v>46</v>
      </c>
      <c r="J2065" t="s">
        <v>33</v>
      </c>
      <c r="K2065" t="s">
        <v>47</v>
      </c>
      <c r="L2065">
        <f t="shared" si="64"/>
        <v>2022</v>
      </c>
      <c r="M2065" t="str">
        <f t="shared" si="65"/>
        <v>COVID Period</v>
      </c>
    </row>
    <row r="2066" spans="1:13" x14ac:dyDescent="0.25">
      <c r="A2066" s="2">
        <v>44578</v>
      </c>
      <c r="B2066" t="s">
        <v>43</v>
      </c>
      <c r="C2066">
        <v>13</v>
      </c>
      <c r="D2066" s="3">
        <v>5.62</v>
      </c>
      <c r="E2066" s="3">
        <v>73.06</v>
      </c>
      <c r="F2066">
        <v>16</v>
      </c>
      <c r="G2066">
        <v>5</v>
      </c>
      <c r="H2066" s="4">
        <v>2</v>
      </c>
      <c r="I2066" t="s">
        <v>46</v>
      </c>
      <c r="J2066" t="s">
        <v>33</v>
      </c>
      <c r="L2066">
        <f t="shared" si="64"/>
        <v>2022</v>
      </c>
      <c r="M2066" t="str">
        <f t="shared" si="65"/>
        <v>COVID Period</v>
      </c>
    </row>
    <row r="2067" spans="1:13" x14ac:dyDescent="0.25">
      <c r="A2067" s="2">
        <v>44578</v>
      </c>
      <c r="B2067" t="s">
        <v>44</v>
      </c>
      <c r="C2067">
        <v>0</v>
      </c>
      <c r="D2067" s="3">
        <v>4.78</v>
      </c>
      <c r="E2067" s="3">
        <v>0</v>
      </c>
      <c r="F2067">
        <v>3</v>
      </c>
      <c r="G2067">
        <v>3</v>
      </c>
      <c r="H2067" s="4">
        <v>1.5</v>
      </c>
      <c r="I2067" t="s">
        <v>46</v>
      </c>
      <c r="J2067" t="s">
        <v>33</v>
      </c>
      <c r="K2067" t="s">
        <v>47</v>
      </c>
      <c r="L2067">
        <f t="shared" si="64"/>
        <v>2022</v>
      </c>
      <c r="M2067" t="str">
        <f t="shared" si="65"/>
        <v>COVID Period</v>
      </c>
    </row>
    <row r="2068" spans="1:13" x14ac:dyDescent="0.25">
      <c r="A2068" s="2">
        <v>44578</v>
      </c>
      <c r="B2068" t="s">
        <v>45</v>
      </c>
      <c r="C2068">
        <v>0</v>
      </c>
      <c r="D2068" s="3">
        <v>14.7</v>
      </c>
      <c r="E2068" s="3">
        <v>0</v>
      </c>
      <c r="F2068">
        <v>3</v>
      </c>
      <c r="G2068">
        <v>3</v>
      </c>
      <c r="H2068" s="4">
        <v>2.2000000000000002</v>
      </c>
      <c r="I2068" t="s">
        <v>46</v>
      </c>
      <c r="J2068" t="s">
        <v>33</v>
      </c>
      <c r="L2068">
        <f t="shared" si="64"/>
        <v>2022</v>
      </c>
      <c r="M2068" t="str">
        <f t="shared" si="65"/>
        <v>COVID Period</v>
      </c>
    </row>
    <row r="2069" spans="1:13" x14ac:dyDescent="0.25">
      <c r="A2069" s="2">
        <v>44585</v>
      </c>
      <c r="B2069" t="s">
        <v>32</v>
      </c>
      <c r="C2069">
        <v>18</v>
      </c>
      <c r="D2069" s="3">
        <v>6.86</v>
      </c>
      <c r="E2069" s="3">
        <v>123.48</v>
      </c>
      <c r="F2069">
        <v>23</v>
      </c>
      <c r="G2069">
        <v>6</v>
      </c>
      <c r="H2069" s="4">
        <v>1.8</v>
      </c>
      <c r="I2069" t="s">
        <v>33</v>
      </c>
      <c r="J2069" t="s">
        <v>33</v>
      </c>
      <c r="L2069">
        <f t="shared" si="64"/>
        <v>2022</v>
      </c>
      <c r="M2069" t="str">
        <f t="shared" si="65"/>
        <v>COVID Period</v>
      </c>
    </row>
    <row r="2070" spans="1:13" x14ac:dyDescent="0.25">
      <c r="A2070" s="2">
        <v>44585</v>
      </c>
      <c r="B2070" t="s">
        <v>34</v>
      </c>
      <c r="C2070">
        <v>24</v>
      </c>
      <c r="D2070" s="3">
        <v>7.19</v>
      </c>
      <c r="E2070" s="3">
        <v>172.56</v>
      </c>
      <c r="F2070">
        <v>38</v>
      </c>
      <c r="G2070">
        <v>17</v>
      </c>
      <c r="H2070" s="4">
        <v>1.1000000000000001</v>
      </c>
      <c r="I2070" t="s">
        <v>33</v>
      </c>
      <c r="J2070" t="s">
        <v>33</v>
      </c>
      <c r="L2070">
        <f t="shared" si="64"/>
        <v>2022</v>
      </c>
      <c r="M2070" t="str">
        <f t="shared" si="65"/>
        <v>COVID Period</v>
      </c>
    </row>
    <row r="2071" spans="1:13" x14ac:dyDescent="0.25">
      <c r="A2071" s="2">
        <v>44585</v>
      </c>
      <c r="B2071" t="s">
        <v>35</v>
      </c>
      <c r="C2071">
        <v>15</v>
      </c>
      <c r="D2071" s="3">
        <v>6.03</v>
      </c>
      <c r="E2071" s="3">
        <v>90.45</v>
      </c>
      <c r="F2071">
        <v>18</v>
      </c>
      <c r="G2071">
        <v>5</v>
      </c>
      <c r="H2071" s="4">
        <v>1.4</v>
      </c>
      <c r="I2071" t="s">
        <v>33</v>
      </c>
      <c r="J2071" t="s">
        <v>33</v>
      </c>
      <c r="L2071">
        <f t="shared" si="64"/>
        <v>2022</v>
      </c>
      <c r="M2071" t="str">
        <f t="shared" si="65"/>
        <v>COVID Period</v>
      </c>
    </row>
    <row r="2072" spans="1:13" x14ac:dyDescent="0.25">
      <c r="A2072" s="2">
        <v>44585</v>
      </c>
      <c r="B2072" t="s">
        <v>36</v>
      </c>
      <c r="C2072">
        <v>14</v>
      </c>
      <c r="D2072" s="3">
        <v>6.41</v>
      </c>
      <c r="E2072" s="3">
        <v>89.74</v>
      </c>
      <c r="F2072">
        <v>19</v>
      </c>
      <c r="G2072">
        <v>7</v>
      </c>
      <c r="H2072" s="4">
        <v>1.1000000000000001</v>
      </c>
      <c r="I2072" t="s">
        <v>33</v>
      </c>
      <c r="J2072" t="s">
        <v>33</v>
      </c>
      <c r="L2072">
        <f t="shared" si="64"/>
        <v>2022</v>
      </c>
      <c r="M2072" t="str">
        <f t="shared" si="65"/>
        <v>COVID Period</v>
      </c>
    </row>
    <row r="2073" spans="1:13" x14ac:dyDescent="0.25">
      <c r="A2073" s="2">
        <v>44585</v>
      </c>
      <c r="B2073" t="s">
        <v>37</v>
      </c>
      <c r="C2073">
        <v>36</v>
      </c>
      <c r="D2073" s="3">
        <v>3.34</v>
      </c>
      <c r="E2073" s="3">
        <v>120.24</v>
      </c>
      <c r="F2073">
        <v>42</v>
      </c>
      <c r="G2073">
        <v>9</v>
      </c>
      <c r="H2073" s="4">
        <v>1.7</v>
      </c>
      <c r="I2073" t="s">
        <v>33</v>
      </c>
      <c r="J2073" t="s">
        <v>33</v>
      </c>
      <c r="L2073">
        <f t="shared" si="64"/>
        <v>2022</v>
      </c>
      <c r="M2073" t="str">
        <f t="shared" si="65"/>
        <v>COVID Period</v>
      </c>
    </row>
    <row r="2074" spans="1:13" x14ac:dyDescent="0.25">
      <c r="A2074" s="2">
        <v>44585</v>
      </c>
      <c r="B2074" t="s">
        <v>38</v>
      </c>
      <c r="C2074">
        <v>17</v>
      </c>
      <c r="D2074" s="3">
        <v>8.51</v>
      </c>
      <c r="E2074" s="3">
        <v>144.66999999999999</v>
      </c>
      <c r="F2074">
        <v>24</v>
      </c>
      <c r="G2074">
        <v>10</v>
      </c>
      <c r="H2074" s="4">
        <v>0.2</v>
      </c>
      <c r="I2074" t="s">
        <v>33</v>
      </c>
      <c r="J2074" t="s">
        <v>33</v>
      </c>
      <c r="L2074">
        <f t="shared" si="64"/>
        <v>2022</v>
      </c>
      <c r="M2074" t="str">
        <f t="shared" si="65"/>
        <v>COVID Period</v>
      </c>
    </row>
    <row r="2075" spans="1:13" x14ac:dyDescent="0.25">
      <c r="A2075" s="2">
        <v>44585</v>
      </c>
      <c r="B2075" t="s">
        <v>39</v>
      </c>
      <c r="C2075">
        <v>25</v>
      </c>
      <c r="D2075" s="3">
        <v>11.39</v>
      </c>
      <c r="E2075" s="3">
        <v>284.75</v>
      </c>
      <c r="F2075">
        <v>35</v>
      </c>
      <c r="G2075">
        <v>13</v>
      </c>
      <c r="H2075" s="4">
        <v>3.8</v>
      </c>
      <c r="I2075" t="s">
        <v>33</v>
      </c>
      <c r="J2075" t="s">
        <v>33</v>
      </c>
      <c r="L2075">
        <f t="shared" si="64"/>
        <v>2022</v>
      </c>
      <c r="M2075" t="str">
        <f t="shared" si="65"/>
        <v>COVID Period</v>
      </c>
    </row>
    <row r="2076" spans="1:13" x14ac:dyDescent="0.25">
      <c r="A2076" s="2">
        <v>44585</v>
      </c>
      <c r="B2076" t="s">
        <v>40</v>
      </c>
      <c r="C2076">
        <v>30</v>
      </c>
      <c r="D2076" s="3">
        <v>0.67</v>
      </c>
      <c r="E2076" s="3">
        <v>20.100000000000001</v>
      </c>
      <c r="F2076">
        <v>41</v>
      </c>
      <c r="G2076">
        <v>12</v>
      </c>
      <c r="H2076" s="4">
        <v>3.4</v>
      </c>
      <c r="I2076" t="s">
        <v>46</v>
      </c>
      <c r="J2076" t="s">
        <v>33</v>
      </c>
      <c r="K2076" t="s">
        <v>47</v>
      </c>
      <c r="L2076">
        <f t="shared" si="64"/>
        <v>2022</v>
      </c>
      <c r="M2076" t="str">
        <f t="shared" si="65"/>
        <v>COVID Period</v>
      </c>
    </row>
    <row r="2077" spans="1:13" x14ac:dyDescent="0.25">
      <c r="A2077" s="2">
        <v>44585</v>
      </c>
      <c r="B2077" t="s">
        <v>41</v>
      </c>
      <c r="C2077">
        <v>17</v>
      </c>
      <c r="D2077" s="3">
        <v>1.36</v>
      </c>
      <c r="E2077" s="3">
        <v>23.12</v>
      </c>
      <c r="F2077">
        <v>25</v>
      </c>
      <c r="G2077">
        <v>10</v>
      </c>
      <c r="H2077" s="4">
        <v>3.9</v>
      </c>
      <c r="I2077" t="s">
        <v>46</v>
      </c>
      <c r="J2077" t="s">
        <v>33</v>
      </c>
      <c r="K2077" t="s">
        <v>47</v>
      </c>
      <c r="L2077">
        <f t="shared" si="64"/>
        <v>2022</v>
      </c>
      <c r="M2077" t="str">
        <f t="shared" si="65"/>
        <v>COVID Period</v>
      </c>
    </row>
    <row r="2078" spans="1:13" x14ac:dyDescent="0.25">
      <c r="A2078" s="2">
        <v>44585</v>
      </c>
      <c r="B2078" t="s">
        <v>42</v>
      </c>
      <c r="C2078">
        <v>28</v>
      </c>
      <c r="D2078" s="3">
        <v>4.08</v>
      </c>
      <c r="E2078" s="3">
        <v>114.24</v>
      </c>
      <c r="F2078">
        <v>40</v>
      </c>
      <c r="G2078">
        <v>15</v>
      </c>
      <c r="H2078" s="4">
        <v>3.7</v>
      </c>
      <c r="I2078" t="s">
        <v>46</v>
      </c>
      <c r="J2078" t="s">
        <v>33</v>
      </c>
      <c r="K2078" t="s">
        <v>47</v>
      </c>
      <c r="L2078">
        <f t="shared" si="64"/>
        <v>2022</v>
      </c>
      <c r="M2078" t="str">
        <f t="shared" si="65"/>
        <v>COVID Period</v>
      </c>
    </row>
    <row r="2079" spans="1:13" x14ac:dyDescent="0.25">
      <c r="A2079" s="2">
        <v>44585</v>
      </c>
      <c r="B2079" t="s">
        <v>43</v>
      </c>
      <c r="C2079">
        <v>11</v>
      </c>
      <c r="D2079" s="3">
        <v>5.71</v>
      </c>
      <c r="E2079" s="3">
        <v>62.81</v>
      </c>
      <c r="F2079">
        <v>17</v>
      </c>
      <c r="G2079">
        <v>6</v>
      </c>
      <c r="H2079" s="4">
        <v>2.6</v>
      </c>
      <c r="I2079" t="s">
        <v>46</v>
      </c>
      <c r="J2079" t="s">
        <v>33</v>
      </c>
      <c r="L2079">
        <f t="shared" si="64"/>
        <v>2022</v>
      </c>
      <c r="M2079" t="str">
        <f t="shared" si="65"/>
        <v>COVID Period</v>
      </c>
    </row>
    <row r="2080" spans="1:13" x14ac:dyDescent="0.25">
      <c r="A2080" s="2">
        <v>44585</v>
      </c>
      <c r="B2080" t="s">
        <v>44</v>
      </c>
      <c r="C2080">
        <v>0</v>
      </c>
      <c r="D2080" s="3">
        <v>4.62</v>
      </c>
      <c r="E2080" s="3">
        <v>0</v>
      </c>
      <c r="F2080">
        <v>3</v>
      </c>
      <c r="G2080">
        <v>3</v>
      </c>
      <c r="H2080" s="4">
        <v>2.1</v>
      </c>
      <c r="I2080" t="s">
        <v>46</v>
      </c>
      <c r="J2080" t="s">
        <v>33</v>
      </c>
      <c r="K2080" t="s">
        <v>47</v>
      </c>
      <c r="L2080">
        <f t="shared" si="64"/>
        <v>2022</v>
      </c>
      <c r="M2080" t="str">
        <f t="shared" si="65"/>
        <v>COVID Period</v>
      </c>
    </row>
    <row r="2081" spans="1:13" x14ac:dyDescent="0.25">
      <c r="A2081" s="2">
        <v>44585</v>
      </c>
      <c r="B2081" t="s">
        <v>45</v>
      </c>
      <c r="C2081">
        <v>1</v>
      </c>
      <c r="D2081" s="3">
        <v>14.98</v>
      </c>
      <c r="E2081" s="3">
        <v>14.98</v>
      </c>
      <c r="F2081">
        <v>3</v>
      </c>
      <c r="G2081">
        <v>2</v>
      </c>
      <c r="H2081" s="4">
        <v>1.5</v>
      </c>
      <c r="I2081" t="s">
        <v>46</v>
      </c>
      <c r="J2081" t="s">
        <v>33</v>
      </c>
      <c r="L2081">
        <f t="shared" si="64"/>
        <v>2022</v>
      </c>
      <c r="M2081" t="str">
        <f t="shared" si="65"/>
        <v>COVID Period</v>
      </c>
    </row>
    <row r="2082" spans="1:13" x14ac:dyDescent="0.25">
      <c r="A2082" s="2">
        <v>44592</v>
      </c>
      <c r="B2082" t="s">
        <v>32</v>
      </c>
      <c r="C2082">
        <v>18</v>
      </c>
      <c r="D2082" s="3">
        <v>6.83</v>
      </c>
      <c r="E2082" s="3">
        <v>122.94</v>
      </c>
      <c r="F2082">
        <v>23</v>
      </c>
      <c r="G2082">
        <v>6</v>
      </c>
      <c r="H2082" s="4">
        <v>2.2999999999999998</v>
      </c>
      <c r="I2082" t="s">
        <v>33</v>
      </c>
      <c r="J2082" t="s">
        <v>33</v>
      </c>
      <c r="L2082">
        <f t="shared" si="64"/>
        <v>2022</v>
      </c>
      <c r="M2082" t="str">
        <f t="shared" si="65"/>
        <v>COVID Period</v>
      </c>
    </row>
    <row r="2083" spans="1:13" x14ac:dyDescent="0.25">
      <c r="A2083" s="2">
        <v>44592</v>
      </c>
      <c r="B2083" t="s">
        <v>34</v>
      </c>
      <c r="C2083">
        <v>29</v>
      </c>
      <c r="D2083" s="3">
        <v>7.41</v>
      </c>
      <c r="E2083" s="3">
        <v>214.89</v>
      </c>
      <c r="F2083">
        <v>35</v>
      </c>
      <c r="G2083">
        <v>9</v>
      </c>
      <c r="H2083" s="4">
        <v>2.2999999999999998</v>
      </c>
      <c r="I2083" t="s">
        <v>46</v>
      </c>
      <c r="J2083" t="s">
        <v>33</v>
      </c>
      <c r="L2083">
        <f t="shared" si="64"/>
        <v>2022</v>
      </c>
      <c r="M2083" t="str">
        <f t="shared" si="65"/>
        <v>COVID Period</v>
      </c>
    </row>
    <row r="2084" spans="1:13" x14ac:dyDescent="0.25">
      <c r="A2084" s="2">
        <v>44592</v>
      </c>
      <c r="B2084" t="s">
        <v>35</v>
      </c>
      <c r="C2084">
        <v>15</v>
      </c>
      <c r="D2084" s="3">
        <v>5.77</v>
      </c>
      <c r="E2084" s="3">
        <v>86.55</v>
      </c>
      <c r="F2084">
        <v>23</v>
      </c>
      <c r="G2084">
        <v>10</v>
      </c>
      <c r="H2084" s="4">
        <v>1.1000000000000001</v>
      </c>
      <c r="I2084" t="s">
        <v>33</v>
      </c>
      <c r="J2084" t="s">
        <v>33</v>
      </c>
      <c r="L2084">
        <f t="shared" si="64"/>
        <v>2022</v>
      </c>
      <c r="M2084" t="str">
        <f t="shared" si="65"/>
        <v>COVID Period</v>
      </c>
    </row>
    <row r="2085" spans="1:13" x14ac:dyDescent="0.25">
      <c r="A2085" s="2">
        <v>44592</v>
      </c>
      <c r="B2085" t="s">
        <v>36</v>
      </c>
      <c r="C2085">
        <v>16</v>
      </c>
      <c r="D2085" s="3">
        <v>6.46</v>
      </c>
      <c r="E2085" s="3">
        <v>103.36</v>
      </c>
      <c r="F2085">
        <v>19</v>
      </c>
      <c r="G2085">
        <v>4</v>
      </c>
      <c r="H2085" s="4">
        <v>0.1</v>
      </c>
      <c r="I2085" t="s">
        <v>33</v>
      </c>
      <c r="J2085" t="s">
        <v>33</v>
      </c>
      <c r="L2085">
        <f t="shared" si="64"/>
        <v>2022</v>
      </c>
      <c r="M2085" t="str">
        <f t="shared" si="65"/>
        <v>COVID Period</v>
      </c>
    </row>
    <row r="2086" spans="1:13" x14ac:dyDescent="0.25">
      <c r="A2086" s="2">
        <v>44592</v>
      </c>
      <c r="B2086" t="s">
        <v>37</v>
      </c>
      <c r="C2086">
        <v>25</v>
      </c>
      <c r="D2086" s="3">
        <v>3.32</v>
      </c>
      <c r="E2086" s="3">
        <v>83</v>
      </c>
      <c r="F2086">
        <v>40</v>
      </c>
      <c r="G2086">
        <v>20</v>
      </c>
      <c r="H2086" s="4">
        <v>2.7</v>
      </c>
      <c r="I2086" t="s">
        <v>33</v>
      </c>
      <c r="J2086" t="s">
        <v>33</v>
      </c>
      <c r="L2086">
        <f t="shared" si="64"/>
        <v>2022</v>
      </c>
      <c r="M2086" t="str">
        <f t="shared" si="65"/>
        <v>COVID Period</v>
      </c>
    </row>
    <row r="2087" spans="1:13" x14ac:dyDescent="0.25">
      <c r="A2087" s="2">
        <v>44592</v>
      </c>
      <c r="B2087" t="s">
        <v>38</v>
      </c>
      <c r="C2087">
        <v>16</v>
      </c>
      <c r="D2087" s="3">
        <v>8.4499999999999993</v>
      </c>
      <c r="E2087" s="3">
        <v>135.19999999999999</v>
      </c>
      <c r="F2087">
        <v>18</v>
      </c>
      <c r="G2087">
        <v>3</v>
      </c>
      <c r="H2087" s="4">
        <v>1.8</v>
      </c>
      <c r="I2087" t="s">
        <v>33</v>
      </c>
      <c r="J2087" t="s">
        <v>33</v>
      </c>
      <c r="L2087">
        <f t="shared" si="64"/>
        <v>2022</v>
      </c>
      <c r="M2087" t="str">
        <f t="shared" si="65"/>
        <v>COVID Period</v>
      </c>
    </row>
    <row r="2088" spans="1:13" x14ac:dyDescent="0.25">
      <c r="A2088" s="2">
        <v>44592</v>
      </c>
      <c r="B2088" t="s">
        <v>39</v>
      </c>
      <c r="C2088">
        <v>23</v>
      </c>
      <c r="D2088" s="3">
        <v>12.02</v>
      </c>
      <c r="E2088" s="3">
        <v>276.45999999999998</v>
      </c>
      <c r="F2088">
        <v>24</v>
      </c>
      <c r="G2088">
        <v>3</v>
      </c>
      <c r="H2088" s="4">
        <v>2.2000000000000002</v>
      </c>
      <c r="I2088" t="s">
        <v>33</v>
      </c>
      <c r="J2088" t="s">
        <v>33</v>
      </c>
      <c r="L2088">
        <f t="shared" si="64"/>
        <v>2022</v>
      </c>
      <c r="M2088" t="str">
        <f t="shared" si="65"/>
        <v>COVID Period</v>
      </c>
    </row>
    <row r="2089" spans="1:13" x14ac:dyDescent="0.25">
      <c r="A2089" s="2">
        <v>44592</v>
      </c>
      <c r="B2089" t="s">
        <v>40</v>
      </c>
      <c r="C2089">
        <v>19</v>
      </c>
      <c r="D2089" s="3">
        <v>0.68</v>
      </c>
      <c r="E2089" s="3">
        <v>12.92</v>
      </c>
      <c r="F2089">
        <v>28</v>
      </c>
      <c r="G2089">
        <v>11</v>
      </c>
      <c r="H2089" s="4">
        <v>3.6</v>
      </c>
      <c r="I2089" t="s">
        <v>46</v>
      </c>
      <c r="J2089" t="s">
        <v>33</v>
      </c>
      <c r="K2089" t="s">
        <v>47</v>
      </c>
      <c r="L2089">
        <f t="shared" si="64"/>
        <v>2022</v>
      </c>
      <c r="M2089" t="str">
        <f t="shared" si="65"/>
        <v>COVID Period</v>
      </c>
    </row>
    <row r="2090" spans="1:13" x14ac:dyDescent="0.25">
      <c r="A2090" s="2">
        <v>44592</v>
      </c>
      <c r="B2090" t="s">
        <v>41</v>
      </c>
      <c r="C2090">
        <v>22</v>
      </c>
      <c r="D2090" s="3">
        <v>1.38</v>
      </c>
      <c r="E2090" s="3">
        <v>30.36</v>
      </c>
      <c r="F2090">
        <v>35</v>
      </c>
      <c r="G2090">
        <v>13</v>
      </c>
      <c r="H2090" s="4">
        <v>1.9</v>
      </c>
      <c r="I2090" t="s">
        <v>46</v>
      </c>
      <c r="J2090" t="s">
        <v>33</v>
      </c>
      <c r="K2090" t="s">
        <v>47</v>
      </c>
      <c r="L2090">
        <f t="shared" si="64"/>
        <v>2022</v>
      </c>
      <c r="M2090" t="str">
        <f t="shared" si="65"/>
        <v>COVID Period</v>
      </c>
    </row>
    <row r="2091" spans="1:13" x14ac:dyDescent="0.25">
      <c r="A2091" s="2">
        <v>44592</v>
      </c>
      <c r="B2091" t="s">
        <v>42</v>
      </c>
      <c r="C2091">
        <v>22</v>
      </c>
      <c r="D2091" s="3">
        <v>4.17</v>
      </c>
      <c r="E2091" s="3">
        <v>91.74</v>
      </c>
      <c r="F2091">
        <v>32</v>
      </c>
      <c r="G2091">
        <v>13</v>
      </c>
      <c r="H2091" s="4">
        <v>3</v>
      </c>
      <c r="I2091" t="s">
        <v>46</v>
      </c>
      <c r="J2091" t="s">
        <v>33</v>
      </c>
      <c r="K2091" t="s">
        <v>47</v>
      </c>
      <c r="L2091">
        <f t="shared" si="64"/>
        <v>2022</v>
      </c>
      <c r="M2091" t="str">
        <f t="shared" si="65"/>
        <v>COVID Period</v>
      </c>
    </row>
    <row r="2092" spans="1:13" x14ac:dyDescent="0.25">
      <c r="A2092" s="2">
        <v>44592</v>
      </c>
      <c r="B2092" t="s">
        <v>43</v>
      </c>
      <c r="C2092">
        <v>16</v>
      </c>
      <c r="D2092" s="3">
        <v>5.61</v>
      </c>
      <c r="E2092" s="3">
        <v>89.76</v>
      </c>
      <c r="F2092">
        <v>25</v>
      </c>
      <c r="G2092">
        <v>13</v>
      </c>
      <c r="H2092" s="4">
        <v>1.7</v>
      </c>
      <c r="I2092" t="s">
        <v>46</v>
      </c>
      <c r="J2092" t="s">
        <v>33</v>
      </c>
      <c r="L2092">
        <f t="shared" si="64"/>
        <v>2022</v>
      </c>
      <c r="M2092" t="str">
        <f t="shared" si="65"/>
        <v>COVID Period</v>
      </c>
    </row>
    <row r="2093" spans="1:13" x14ac:dyDescent="0.25">
      <c r="A2093" s="2">
        <v>44592</v>
      </c>
      <c r="B2093" t="s">
        <v>44</v>
      </c>
      <c r="C2093">
        <v>0</v>
      </c>
      <c r="D2093" s="3">
        <v>4.9400000000000004</v>
      </c>
      <c r="E2093" s="3">
        <v>0</v>
      </c>
      <c r="F2093">
        <v>3</v>
      </c>
      <c r="G2093">
        <v>3</v>
      </c>
      <c r="H2093" s="4">
        <v>0.8</v>
      </c>
      <c r="I2093" t="s">
        <v>46</v>
      </c>
      <c r="J2093" t="s">
        <v>33</v>
      </c>
      <c r="K2093" t="s">
        <v>47</v>
      </c>
      <c r="L2093">
        <f t="shared" si="64"/>
        <v>2022</v>
      </c>
      <c r="M2093" t="str">
        <f t="shared" si="65"/>
        <v>COVID Period</v>
      </c>
    </row>
    <row r="2094" spans="1:13" x14ac:dyDescent="0.25">
      <c r="A2094" s="2">
        <v>44592</v>
      </c>
      <c r="B2094" t="s">
        <v>45</v>
      </c>
      <c r="C2094">
        <v>2</v>
      </c>
      <c r="D2094" s="3">
        <v>14.57</v>
      </c>
      <c r="E2094" s="3">
        <v>29.14</v>
      </c>
      <c r="F2094">
        <v>3</v>
      </c>
      <c r="G2094">
        <v>1</v>
      </c>
      <c r="H2094" s="4">
        <v>1.4</v>
      </c>
      <c r="I2094" t="s">
        <v>46</v>
      </c>
      <c r="J2094" t="s">
        <v>46</v>
      </c>
      <c r="L2094">
        <f t="shared" si="64"/>
        <v>2022</v>
      </c>
      <c r="M2094" t="str">
        <f t="shared" si="65"/>
        <v>COVID Period</v>
      </c>
    </row>
    <row r="2095" spans="1:13" x14ac:dyDescent="0.25">
      <c r="A2095" s="2">
        <v>44599</v>
      </c>
      <c r="B2095" t="s">
        <v>32</v>
      </c>
      <c r="C2095">
        <v>27</v>
      </c>
      <c r="D2095" s="3">
        <v>6.84</v>
      </c>
      <c r="E2095" s="3">
        <v>184.68</v>
      </c>
      <c r="F2095">
        <v>43</v>
      </c>
      <c r="G2095">
        <v>20</v>
      </c>
      <c r="H2095" s="4">
        <v>1.8</v>
      </c>
      <c r="I2095" t="s">
        <v>33</v>
      </c>
      <c r="J2095" t="s">
        <v>33</v>
      </c>
      <c r="L2095">
        <f t="shared" si="64"/>
        <v>2022</v>
      </c>
      <c r="M2095" t="str">
        <f t="shared" si="65"/>
        <v>COVID Period</v>
      </c>
    </row>
    <row r="2096" spans="1:13" x14ac:dyDescent="0.25">
      <c r="A2096" s="2">
        <v>44599</v>
      </c>
      <c r="B2096" t="s">
        <v>34</v>
      </c>
      <c r="C2096">
        <v>26</v>
      </c>
      <c r="D2096" s="3">
        <v>7.12</v>
      </c>
      <c r="E2096" s="3">
        <v>185.12</v>
      </c>
      <c r="F2096">
        <v>30</v>
      </c>
      <c r="G2096">
        <v>9</v>
      </c>
      <c r="H2096" s="4">
        <v>1.2</v>
      </c>
      <c r="I2096" t="s">
        <v>33</v>
      </c>
      <c r="J2096" t="s">
        <v>33</v>
      </c>
      <c r="L2096">
        <f t="shared" si="64"/>
        <v>2022</v>
      </c>
      <c r="M2096" t="str">
        <f t="shared" si="65"/>
        <v>COVID Period</v>
      </c>
    </row>
    <row r="2097" spans="1:13" x14ac:dyDescent="0.25">
      <c r="A2097" s="2">
        <v>44599</v>
      </c>
      <c r="B2097" t="s">
        <v>35</v>
      </c>
      <c r="C2097">
        <v>17</v>
      </c>
      <c r="D2097" s="3">
        <v>6.08</v>
      </c>
      <c r="E2097" s="3">
        <v>103.36</v>
      </c>
      <c r="F2097">
        <v>18</v>
      </c>
      <c r="G2097">
        <v>4</v>
      </c>
      <c r="H2097" s="4">
        <v>1.1000000000000001</v>
      </c>
      <c r="I2097" t="s">
        <v>33</v>
      </c>
      <c r="J2097" t="s">
        <v>33</v>
      </c>
      <c r="L2097">
        <f t="shared" si="64"/>
        <v>2022</v>
      </c>
      <c r="M2097" t="str">
        <f t="shared" si="65"/>
        <v>COVID Period</v>
      </c>
    </row>
    <row r="2098" spans="1:13" x14ac:dyDescent="0.25">
      <c r="A2098" s="2">
        <v>44599</v>
      </c>
      <c r="B2098" t="s">
        <v>36</v>
      </c>
      <c r="C2098">
        <v>16</v>
      </c>
      <c r="D2098" s="3">
        <v>6.44</v>
      </c>
      <c r="E2098" s="3">
        <v>103.04</v>
      </c>
      <c r="F2098">
        <v>18</v>
      </c>
      <c r="G2098">
        <v>4</v>
      </c>
      <c r="H2098" s="4">
        <v>2.5</v>
      </c>
      <c r="I2098" t="s">
        <v>33</v>
      </c>
      <c r="J2098" t="s">
        <v>33</v>
      </c>
      <c r="L2098">
        <f t="shared" si="64"/>
        <v>2022</v>
      </c>
      <c r="M2098" t="str">
        <f t="shared" si="65"/>
        <v>COVID Period</v>
      </c>
    </row>
    <row r="2099" spans="1:13" x14ac:dyDescent="0.25">
      <c r="A2099" s="2">
        <v>44599</v>
      </c>
      <c r="B2099" t="s">
        <v>37</v>
      </c>
      <c r="C2099">
        <v>38</v>
      </c>
      <c r="D2099" s="3">
        <v>3.28</v>
      </c>
      <c r="E2099" s="3">
        <v>124.64</v>
      </c>
      <c r="F2099">
        <v>45</v>
      </c>
      <c r="G2099">
        <v>8</v>
      </c>
      <c r="H2099" s="4">
        <v>2.4</v>
      </c>
      <c r="I2099" t="s">
        <v>33</v>
      </c>
      <c r="J2099" t="s">
        <v>33</v>
      </c>
      <c r="L2099">
        <f t="shared" si="64"/>
        <v>2022</v>
      </c>
      <c r="M2099" t="str">
        <f t="shared" si="65"/>
        <v>COVID Period</v>
      </c>
    </row>
    <row r="2100" spans="1:13" x14ac:dyDescent="0.25">
      <c r="A2100" s="2">
        <v>44599</v>
      </c>
      <c r="B2100" t="s">
        <v>38</v>
      </c>
      <c r="C2100">
        <v>17</v>
      </c>
      <c r="D2100" s="3">
        <v>8.69</v>
      </c>
      <c r="E2100" s="3">
        <v>147.72999999999999</v>
      </c>
      <c r="F2100">
        <v>25</v>
      </c>
      <c r="G2100">
        <v>11</v>
      </c>
      <c r="H2100" s="4">
        <v>2.2000000000000002</v>
      </c>
      <c r="I2100" t="s">
        <v>33</v>
      </c>
      <c r="J2100" t="s">
        <v>33</v>
      </c>
      <c r="L2100">
        <f t="shared" si="64"/>
        <v>2022</v>
      </c>
      <c r="M2100" t="str">
        <f t="shared" si="65"/>
        <v>COVID Period</v>
      </c>
    </row>
    <row r="2101" spans="1:13" x14ac:dyDescent="0.25">
      <c r="A2101" s="2">
        <v>44599</v>
      </c>
      <c r="B2101" t="s">
        <v>39</v>
      </c>
      <c r="C2101">
        <v>25</v>
      </c>
      <c r="D2101" s="3">
        <v>11.45</v>
      </c>
      <c r="E2101" s="3">
        <v>286.25</v>
      </c>
      <c r="F2101">
        <v>38</v>
      </c>
      <c r="G2101">
        <v>18</v>
      </c>
      <c r="H2101" s="4">
        <v>0.9</v>
      </c>
      <c r="I2101" t="s">
        <v>33</v>
      </c>
      <c r="J2101" t="s">
        <v>33</v>
      </c>
      <c r="L2101">
        <f t="shared" si="64"/>
        <v>2022</v>
      </c>
      <c r="M2101" t="str">
        <f t="shared" si="65"/>
        <v>COVID Period</v>
      </c>
    </row>
    <row r="2102" spans="1:13" x14ac:dyDescent="0.25">
      <c r="A2102" s="2">
        <v>44599</v>
      </c>
      <c r="B2102" t="s">
        <v>40</v>
      </c>
      <c r="C2102">
        <v>21</v>
      </c>
      <c r="D2102" s="3">
        <v>0.68</v>
      </c>
      <c r="E2102" s="3">
        <v>14.28</v>
      </c>
      <c r="F2102">
        <v>33</v>
      </c>
      <c r="G2102">
        <v>13</v>
      </c>
      <c r="H2102" s="4">
        <v>2</v>
      </c>
      <c r="I2102" t="s">
        <v>46</v>
      </c>
      <c r="J2102" t="s">
        <v>33</v>
      </c>
      <c r="K2102" t="s">
        <v>47</v>
      </c>
      <c r="L2102">
        <f t="shared" si="64"/>
        <v>2022</v>
      </c>
      <c r="M2102" t="str">
        <f t="shared" si="65"/>
        <v>COVID Period</v>
      </c>
    </row>
    <row r="2103" spans="1:13" x14ac:dyDescent="0.25">
      <c r="A2103" s="2">
        <v>44599</v>
      </c>
      <c r="B2103" t="s">
        <v>41</v>
      </c>
      <c r="C2103">
        <v>19</v>
      </c>
      <c r="D2103" s="3">
        <v>1.4</v>
      </c>
      <c r="E2103" s="3">
        <v>26.6</v>
      </c>
      <c r="F2103">
        <v>22</v>
      </c>
      <c r="G2103">
        <v>6</v>
      </c>
      <c r="H2103" s="4">
        <v>1.7</v>
      </c>
      <c r="I2103" t="s">
        <v>46</v>
      </c>
      <c r="J2103" t="s">
        <v>33</v>
      </c>
      <c r="K2103" t="s">
        <v>47</v>
      </c>
      <c r="L2103">
        <f t="shared" si="64"/>
        <v>2022</v>
      </c>
      <c r="M2103" t="str">
        <f t="shared" si="65"/>
        <v>COVID Period</v>
      </c>
    </row>
    <row r="2104" spans="1:13" x14ac:dyDescent="0.25">
      <c r="A2104" s="2">
        <v>44599</v>
      </c>
      <c r="B2104" t="s">
        <v>42</v>
      </c>
      <c r="C2104">
        <v>16</v>
      </c>
      <c r="D2104" s="3">
        <v>4.3499999999999996</v>
      </c>
      <c r="E2104" s="3">
        <v>69.599999999999994</v>
      </c>
      <c r="F2104">
        <v>26</v>
      </c>
      <c r="G2104">
        <v>14</v>
      </c>
      <c r="H2104" s="4">
        <v>0.4</v>
      </c>
      <c r="I2104" t="s">
        <v>46</v>
      </c>
      <c r="J2104" t="s">
        <v>33</v>
      </c>
      <c r="K2104" t="s">
        <v>47</v>
      </c>
      <c r="L2104">
        <f t="shared" si="64"/>
        <v>2022</v>
      </c>
      <c r="M2104" t="str">
        <f t="shared" si="65"/>
        <v>COVID Period</v>
      </c>
    </row>
    <row r="2105" spans="1:13" x14ac:dyDescent="0.25">
      <c r="A2105" s="2">
        <v>44599</v>
      </c>
      <c r="B2105" t="s">
        <v>43</v>
      </c>
      <c r="C2105">
        <v>13</v>
      </c>
      <c r="D2105" s="3">
        <v>5.63</v>
      </c>
      <c r="E2105" s="3">
        <v>73.19</v>
      </c>
      <c r="F2105">
        <v>16</v>
      </c>
      <c r="G2105">
        <v>6</v>
      </c>
      <c r="H2105" s="4">
        <v>0.8</v>
      </c>
      <c r="I2105" t="s">
        <v>46</v>
      </c>
      <c r="J2105" t="s">
        <v>33</v>
      </c>
      <c r="L2105">
        <f t="shared" si="64"/>
        <v>2022</v>
      </c>
      <c r="M2105" t="str">
        <f t="shared" si="65"/>
        <v>COVID Period</v>
      </c>
    </row>
    <row r="2106" spans="1:13" x14ac:dyDescent="0.25">
      <c r="A2106" s="2">
        <v>44599</v>
      </c>
      <c r="B2106" t="s">
        <v>44</v>
      </c>
      <c r="C2106">
        <v>0</v>
      </c>
      <c r="D2106" s="3">
        <v>4.9400000000000004</v>
      </c>
      <c r="E2106" s="3">
        <v>0</v>
      </c>
      <c r="F2106">
        <v>3</v>
      </c>
      <c r="G2106">
        <v>3</v>
      </c>
      <c r="H2106" s="4">
        <v>2.2999999999999998</v>
      </c>
      <c r="I2106" t="s">
        <v>46</v>
      </c>
      <c r="J2106" t="s">
        <v>33</v>
      </c>
      <c r="K2106" t="s">
        <v>47</v>
      </c>
      <c r="L2106">
        <f t="shared" si="64"/>
        <v>2022</v>
      </c>
      <c r="M2106" t="str">
        <f t="shared" si="65"/>
        <v>COVID Period</v>
      </c>
    </row>
    <row r="2107" spans="1:13" x14ac:dyDescent="0.25">
      <c r="A2107" s="2">
        <v>44599</v>
      </c>
      <c r="B2107" t="s">
        <v>45</v>
      </c>
      <c r="C2107">
        <v>0</v>
      </c>
      <c r="D2107" s="3">
        <v>14.96</v>
      </c>
      <c r="E2107" s="3">
        <v>0</v>
      </c>
      <c r="F2107">
        <v>3</v>
      </c>
      <c r="G2107">
        <v>3</v>
      </c>
      <c r="H2107" s="4">
        <v>2.2999999999999998</v>
      </c>
      <c r="I2107" t="s">
        <v>46</v>
      </c>
      <c r="J2107" t="s">
        <v>33</v>
      </c>
      <c r="L2107">
        <f t="shared" si="64"/>
        <v>2022</v>
      </c>
      <c r="M2107" t="str">
        <f t="shared" si="65"/>
        <v>COVID Period</v>
      </c>
    </row>
    <row r="2108" spans="1:13" x14ac:dyDescent="0.25">
      <c r="A2108" s="2">
        <v>44606</v>
      </c>
      <c r="B2108" t="s">
        <v>32</v>
      </c>
      <c r="C2108">
        <v>15</v>
      </c>
      <c r="D2108" s="3">
        <v>6.6</v>
      </c>
      <c r="E2108" s="3">
        <v>99</v>
      </c>
      <c r="F2108">
        <v>23</v>
      </c>
      <c r="G2108">
        <v>9</v>
      </c>
      <c r="H2108" s="4">
        <v>1</v>
      </c>
      <c r="I2108" t="s">
        <v>33</v>
      </c>
      <c r="J2108" t="s">
        <v>33</v>
      </c>
      <c r="L2108">
        <f t="shared" si="64"/>
        <v>2022</v>
      </c>
      <c r="M2108" t="str">
        <f t="shared" si="65"/>
        <v>COVID Period</v>
      </c>
    </row>
    <row r="2109" spans="1:13" x14ac:dyDescent="0.25">
      <c r="A2109" s="2">
        <v>44606</v>
      </c>
      <c r="B2109" t="s">
        <v>34</v>
      </c>
      <c r="C2109">
        <v>19</v>
      </c>
      <c r="D2109" s="3">
        <v>7.43</v>
      </c>
      <c r="E2109" s="3">
        <v>141.16999999999999</v>
      </c>
      <c r="F2109">
        <v>31</v>
      </c>
      <c r="G2109">
        <v>16</v>
      </c>
      <c r="H2109" s="4">
        <v>1.4</v>
      </c>
      <c r="I2109" t="s">
        <v>33</v>
      </c>
      <c r="J2109" t="s">
        <v>33</v>
      </c>
      <c r="L2109">
        <f t="shared" si="64"/>
        <v>2022</v>
      </c>
      <c r="M2109" t="str">
        <f t="shared" si="65"/>
        <v>COVID Period</v>
      </c>
    </row>
    <row r="2110" spans="1:13" x14ac:dyDescent="0.25">
      <c r="A2110" s="2">
        <v>44606</v>
      </c>
      <c r="B2110" t="s">
        <v>35</v>
      </c>
      <c r="C2110">
        <v>12</v>
      </c>
      <c r="D2110" s="3">
        <v>6.12</v>
      </c>
      <c r="E2110" s="3">
        <v>73.44</v>
      </c>
      <c r="F2110">
        <v>17</v>
      </c>
      <c r="G2110">
        <v>6</v>
      </c>
      <c r="H2110" s="4">
        <v>0</v>
      </c>
      <c r="I2110" t="s">
        <v>33</v>
      </c>
      <c r="J2110" t="s">
        <v>33</v>
      </c>
      <c r="L2110">
        <f t="shared" si="64"/>
        <v>2022</v>
      </c>
      <c r="M2110" t="str">
        <f t="shared" si="65"/>
        <v>COVID Period</v>
      </c>
    </row>
    <row r="2111" spans="1:13" x14ac:dyDescent="0.25">
      <c r="A2111" s="2">
        <v>44606</v>
      </c>
      <c r="B2111" t="s">
        <v>36</v>
      </c>
      <c r="C2111">
        <v>16</v>
      </c>
      <c r="D2111" s="3">
        <v>6.14</v>
      </c>
      <c r="E2111" s="3">
        <v>98.24</v>
      </c>
      <c r="F2111">
        <v>19</v>
      </c>
      <c r="G2111">
        <v>3</v>
      </c>
      <c r="H2111" s="4">
        <v>0.3</v>
      </c>
      <c r="I2111" t="s">
        <v>33</v>
      </c>
      <c r="J2111" t="s">
        <v>33</v>
      </c>
      <c r="L2111">
        <f t="shared" si="64"/>
        <v>2022</v>
      </c>
      <c r="M2111" t="str">
        <f t="shared" si="65"/>
        <v>COVID Period</v>
      </c>
    </row>
    <row r="2112" spans="1:13" x14ac:dyDescent="0.25">
      <c r="A2112" s="2">
        <v>44606</v>
      </c>
      <c r="B2112" t="s">
        <v>37</v>
      </c>
      <c r="C2112">
        <v>28</v>
      </c>
      <c r="D2112" s="3">
        <v>3.2</v>
      </c>
      <c r="E2112" s="3">
        <v>89.6</v>
      </c>
      <c r="F2112">
        <v>35</v>
      </c>
      <c r="G2112">
        <v>8</v>
      </c>
      <c r="H2112" s="4">
        <v>1.4</v>
      </c>
      <c r="I2112" t="s">
        <v>33</v>
      </c>
      <c r="J2112" t="s">
        <v>33</v>
      </c>
      <c r="L2112">
        <f t="shared" si="64"/>
        <v>2022</v>
      </c>
      <c r="M2112" t="str">
        <f t="shared" si="65"/>
        <v>COVID Period</v>
      </c>
    </row>
    <row r="2113" spans="1:13" x14ac:dyDescent="0.25">
      <c r="A2113" s="2">
        <v>44606</v>
      </c>
      <c r="B2113" t="s">
        <v>38</v>
      </c>
      <c r="C2113">
        <v>19</v>
      </c>
      <c r="D2113" s="3">
        <v>8.1999999999999993</v>
      </c>
      <c r="E2113" s="3">
        <v>155.80000000000001</v>
      </c>
      <c r="F2113">
        <v>21</v>
      </c>
      <c r="G2113">
        <v>4</v>
      </c>
      <c r="H2113" s="4">
        <v>0.6</v>
      </c>
      <c r="I2113" t="s">
        <v>33</v>
      </c>
      <c r="J2113" t="s">
        <v>33</v>
      </c>
      <c r="L2113">
        <f t="shared" si="64"/>
        <v>2022</v>
      </c>
      <c r="M2113" t="str">
        <f t="shared" si="65"/>
        <v>COVID Period</v>
      </c>
    </row>
    <row r="2114" spans="1:13" x14ac:dyDescent="0.25">
      <c r="A2114" s="2">
        <v>44606</v>
      </c>
      <c r="B2114" t="s">
        <v>39</v>
      </c>
      <c r="C2114">
        <v>27</v>
      </c>
      <c r="D2114" s="3">
        <v>11.9</v>
      </c>
      <c r="E2114" s="3">
        <v>321.3</v>
      </c>
      <c r="F2114">
        <v>38</v>
      </c>
      <c r="G2114">
        <v>17</v>
      </c>
      <c r="H2114" s="4">
        <v>1.8</v>
      </c>
      <c r="I2114" t="s">
        <v>33</v>
      </c>
      <c r="J2114" t="s">
        <v>33</v>
      </c>
      <c r="L2114">
        <f t="shared" ref="L2114:L2177" si="66">YEAR(A2114)</f>
        <v>2022</v>
      </c>
      <c r="M2114" t="str">
        <f t="shared" ref="M2114:M2177" si="67">IF(L2114=2019,"Pre-COVID","COVID Period")</f>
        <v>COVID Period</v>
      </c>
    </row>
    <row r="2115" spans="1:13" x14ac:dyDescent="0.25">
      <c r="A2115" s="2">
        <v>44606</v>
      </c>
      <c r="B2115" t="s">
        <v>40</v>
      </c>
      <c r="C2115">
        <v>25</v>
      </c>
      <c r="D2115" s="3">
        <v>0.63</v>
      </c>
      <c r="E2115" s="3">
        <v>15.75</v>
      </c>
      <c r="F2115">
        <v>36</v>
      </c>
      <c r="G2115">
        <v>12</v>
      </c>
      <c r="H2115" s="4">
        <v>3.3</v>
      </c>
      <c r="I2115" t="s">
        <v>46</v>
      </c>
      <c r="J2115" t="s">
        <v>33</v>
      </c>
      <c r="K2115" t="s">
        <v>47</v>
      </c>
      <c r="L2115">
        <f t="shared" si="66"/>
        <v>2022</v>
      </c>
      <c r="M2115" t="str">
        <f t="shared" si="67"/>
        <v>COVID Period</v>
      </c>
    </row>
    <row r="2116" spans="1:13" x14ac:dyDescent="0.25">
      <c r="A2116" s="2">
        <v>44606</v>
      </c>
      <c r="B2116" t="s">
        <v>41</v>
      </c>
      <c r="C2116">
        <v>17</v>
      </c>
      <c r="D2116" s="3">
        <v>1.33</v>
      </c>
      <c r="E2116" s="3">
        <v>22.61</v>
      </c>
      <c r="F2116">
        <v>23</v>
      </c>
      <c r="G2116">
        <v>7</v>
      </c>
      <c r="H2116" s="4">
        <v>2.1</v>
      </c>
      <c r="I2116" t="s">
        <v>46</v>
      </c>
      <c r="J2116" t="s">
        <v>33</v>
      </c>
      <c r="K2116" t="s">
        <v>47</v>
      </c>
      <c r="L2116">
        <f t="shared" si="66"/>
        <v>2022</v>
      </c>
      <c r="M2116" t="str">
        <f t="shared" si="67"/>
        <v>COVID Period</v>
      </c>
    </row>
    <row r="2117" spans="1:13" x14ac:dyDescent="0.25">
      <c r="A2117" s="2">
        <v>44606</v>
      </c>
      <c r="B2117" t="s">
        <v>42</v>
      </c>
      <c r="C2117">
        <v>18</v>
      </c>
      <c r="D2117" s="3">
        <v>4.18</v>
      </c>
      <c r="E2117" s="3">
        <v>75.239999999999995</v>
      </c>
      <c r="F2117">
        <v>25</v>
      </c>
      <c r="G2117">
        <v>11</v>
      </c>
      <c r="H2117" s="4">
        <v>3</v>
      </c>
      <c r="I2117" t="s">
        <v>46</v>
      </c>
      <c r="J2117" t="s">
        <v>33</v>
      </c>
      <c r="K2117" t="s">
        <v>47</v>
      </c>
      <c r="L2117">
        <f t="shared" si="66"/>
        <v>2022</v>
      </c>
      <c r="M2117" t="str">
        <f t="shared" si="67"/>
        <v>COVID Period</v>
      </c>
    </row>
    <row r="2118" spans="1:13" x14ac:dyDescent="0.25">
      <c r="A2118" s="2">
        <v>44606</v>
      </c>
      <c r="B2118" t="s">
        <v>43</v>
      </c>
      <c r="C2118">
        <v>15</v>
      </c>
      <c r="D2118" s="3">
        <v>5.44</v>
      </c>
      <c r="E2118" s="3">
        <v>81.599999999999994</v>
      </c>
      <c r="F2118">
        <v>22</v>
      </c>
      <c r="G2118">
        <v>9</v>
      </c>
      <c r="H2118" s="4">
        <v>1.9</v>
      </c>
      <c r="I2118" t="s">
        <v>46</v>
      </c>
      <c r="J2118" t="s">
        <v>33</v>
      </c>
      <c r="L2118">
        <f t="shared" si="66"/>
        <v>2022</v>
      </c>
      <c r="M2118" t="str">
        <f t="shared" si="67"/>
        <v>COVID Period</v>
      </c>
    </row>
    <row r="2119" spans="1:13" x14ac:dyDescent="0.25">
      <c r="A2119" s="2">
        <v>44606</v>
      </c>
      <c r="B2119" t="s">
        <v>44</v>
      </c>
      <c r="C2119">
        <v>1</v>
      </c>
      <c r="D2119" s="3">
        <v>4.84</v>
      </c>
      <c r="E2119" s="3">
        <v>4.84</v>
      </c>
      <c r="F2119">
        <v>3</v>
      </c>
      <c r="G2119">
        <v>3</v>
      </c>
      <c r="H2119" s="4">
        <v>3.1</v>
      </c>
      <c r="I2119" t="s">
        <v>46</v>
      </c>
      <c r="J2119" t="s">
        <v>33</v>
      </c>
      <c r="K2119" t="s">
        <v>47</v>
      </c>
      <c r="L2119">
        <f t="shared" si="66"/>
        <v>2022</v>
      </c>
      <c r="M2119" t="str">
        <f t="shared" si="67"/>
        <v>COVID Period</v>
      </c>
    </row>
    <row r="2120" spans="1:13" x14ac:dyDescent="0.25">
      <c r="A2120" s="2">
        <v>44606</v>
      </c>
      <c r="B2120" t="s">
        <v>45</v>
      </c>
      <c r="C2120">
        <v>1</v>
      </c>
      <c r="D2120" s="3">
        <v>14.96</v>
      </c>
      <c r="E2120" s="3">
        <v>14.96</v>
      </c>
      <c r="F2120">
        <v>3</v>
      </c>
      <c r="G2120">
        <v>3</v>
      </c>
      <c r="H2120" s="4">
        <v>3.9</v>
      </c>
      <c r="I2120" t="s">
        <v>46</v>
      </c>
      <c r="J2120" t="s">
        <v>33</v>
      </c>
      <c r="L2120">
        <f t="shared" si="66"/>
        <v>2022</v>
      </c>
      <c r="M2120" t="str">
        <f t="shared" si="67"/>
        <v>COVID Period</v>
      </c>
    </row>
    <row r="2121" spans="1:13" x14ac:dyDescent="0.25">
      <c r="A2121" s="2">
        <v>44613</v>
      </c>
      <c r="B2121" t="s">
        <v>32</v>
      </c>
      <c r="C2121">
        <v>27</v>
      </c>
      <c r="D2121" s="3">
        <v>7.09</v>
      </c>
      <c r="E2121" s="3">
        <v>191.43</v>
      </c>
      <c r="F2121">
        <v>36</v>
      </c>
      <c r="G2121">
        <v>9</v>
      </c>
      <c r="H2121" s="4">
        <v>1.6</v>
      </c>
      <c r="I2121" t="s">
        <v>33</v>
      </c>
      <c r="J2121" t="s">
        <v>33</v>
      </c>
      <c r="L2121">
        <f t="shared" si="66"/>
        <v>2022</v>
      </c>
      <c r="M2121" t="str">
        <f t="shared" si="67"/>
        <v>COVID Period</v>
      </c>
    </row>
    <row r="2122" spans="1:13" x14ac:dyDescent="0.25">
      <c r="A2122" s="2">
        <v>44613</v>
      </c>
      <c r="B2122" t="s">
        <v>34</v>
      </c>
      <c r="C2122">
        <v>21</v>
      </c>
      <c r="D2122" s="3">
        <v>7.37</v>
      </c>
      <c r="E2122" s="3">
        <v>154.77000000000001</v>
      </c>
      <c r="F2122">
        <v>28</v>
      </c>
      <c r="G2122">
        <v>11</v>
      </c>
      <c r="H2122" s="4">
        <v>0.6</v>
      </c>
      <c r="I2122" t="s">
        <v>33</v>
      </c>
      <c r="J2122" t="s">
        <v>33</v>
      </c>
      <c r="L2122">
        <f t="shared" si="66"/>
        <v>2022</v>
      </c>
      <c r="M2122" t="str">
        <f t="shared" si="67"/>
        <v>COVID Period</v>
      </c>
    </row>
    <row r="2123" spans="1:13" x14ac:dyDescent="0.25">
      <c r="A2123" s="2">
        <v>44613</v>
      </c>
      <c r="B2123" t="s">
        <v>35</v>
      </c>
      <c r="C2123">
        <v>11</v>
      </c>
      <c r="D2123" s="3">
        <v>6.16</v>
      </c>
      <c r="E2123" s="3">
        <v>67.760000000000005</v>
      </c>
      <c r="F2123">
        <v>14</v>
      </c>
      <c r="G2123">
        <v>5</v>
      </c>
      <c r="H2123" s="4">
        <v>1.7</v>
      </c>
      <c r="I2123" t="s">
        <v>33</v>
      </c>
      <c r="J2123" t="s">
        <v>33</v>
      </c>
      <c r="L2123">
        <f t="shared" si="66"/>
        <v>2022</v>
      </c>
      <c r="M2123" t="str">
        <f t="shared" si="67"/>
        <v>COVID Period</v>
      </c>
    </row>
    <row r="2124" spans="1:13" x14ac:dyDescent="0.25">
      <c r="A2124" s="2">
        <v>44613</v>
      </c>
      <c r="B2124" t="s">
        <v>36</v>
      </c>
      <c r="C2124">
        <v>9</v>
      </c>
      <c r="D2124" s="3">
        <v>6.43</v>
      </c>
      <c r="E2124" s="3">
        <v>57.87</v>
      </c>
      <c r="F2124">
        <v>14</v>
      </c>
      <c r="G2124">
        <v>7</v>
      </c>
      <c r="H2124" s="4">
        <v>1.2</v>
      </c>
      <c r="I2124" t="s">
        <v>33</v>
      </c>
      <c r="J2124" t="s">
        <v>33</v>
      </c>
      <c r="L2124">
        <f t="shared" si="66"/>
        <v>2022</v>
      </c>
      <c r="M2124" t="str">
        <f t="shared" si="67"/>
        <v>COVID Period</v>
      </c>
    </row>
    <row r="2125" spans="1:13" x14ac:dyDescent="0.25">
      <c r="A2125" s="2">
        <v>44613</v>
      </c>
      <c r="B2125" t="s">
        <v>37</v>
      </c>
      <c r="C2125">
        <v>22</v>
      </c>
      <c r="D2125" s="3">
        <v>3.07</v>
      </c>
      <c r="E2125" s="3">
        <v>67.540000000000006</v>
      </c>
      <c r="F2125">
        <v>34</v>
      </c>
      <c r="G2125">
        <v>14</v>
      </c>
      <c r="H2125" s="4">
        <v>1.3</v>
      </c>
      <c r="I2125" t="s">
        <v>33</v>
      </c>
      <c r="J2125" t="s">
        <v>33</v>
      </c>
      <c r="L2125">
        <f t="shared" si="66"/>
        <v>2022</v>
      </c>
      <c r="M2125" t="str">
        <f t="shared" si="67"/>
        <v>COVID Period</v>
      </c>
    </row>
    <row r="2126" spans="1:13" x14ac:dyDescent="0.25">
      <c r="A2126" s="2">
        <v>44613</v>
      </c>
      <c r="B2126" t="s">
        <v>38</v>
      </c>
      <c r="C2126">
        <v>22</v>
      </c>
      <c r="D2126" s="3">
        <v>8.57</v>
      </c>
      <c r="E2126" s="3">
        <v>188.54</v>
      </c>
      <c r="F2126">
        <v>26</v>
      </c>
      <c r="G2126">
        <v>7</v>
      </c>
      <c r="H2126" s="4">
        <v>2.8</v>
      </c>
      <c r="I2126" t="s">
        <v>33</v>
      </c>
      <c r="J2126" t="s">
        <v>33</v>
      </c>
      <c r="L2126">
        <f t="shared" si="66"/>
        <v>2022</v>
      </c>
      <c r="M2126" t="str">
        <f t="shared" si="67"/>
        <v>COVID Period</v>
      </c>
    </row>
    <row r="2127" spans="1:13" x14ac:dyDescent="0.25">
      <c r="A2127" s="2">
        <v>44613</v>
      </c>
      <c r="B2127" t="s">
        <v>39</v>
      </c>
      <c r="C2127">
        <v>32</v>
      </c>
      <c r="D2127" s="3">
        <v>11.13</v>
      </c>
      <c r="E2127" s="3">
        <v>356.16</v>
      </c>
      <c r="F2127">
        <v>45</v>
      </c>
      <c r="G2127">
        <v>14</v>
      </c>
      <c r="H2127" s="4">
        <v>2.1</v>
      </c>
      <c r="I2127" t="s">
        <v>33</v>
      </c>
      <c r="J2127" t="s">
        <v>33</v>
      </c>
      <c r="L2127">
        <f t="shared" si="66"/>
        <v>2022</v>
      </c>
      <c r="M2127" t="str">
        <f t="shared" si="67"/>
        <v>COVID Period</v>
      </c>
    </row>
    <row r="2128" spans="1:13" x14ac:dyDescent="0.25">
      <c r="A2128" s="2">
        <v>44613</v>
      </c>
      <c r="B2128" t="s">
        <v>40</v>
      </c>
      <c r="C2128">
        <v>28</v>
      </c>
      <c r="D2128" s="3">
        <v>0.64</v>
      </c>
      <c r="E2128" s="3">
        <v>17.920000000000002</v>
      </c>
      <c r="F2128">
        <v>29</v>
      </c>
      <c r="G2128">
        <v>3</v>
      </c>
      <c r="H2128" s="4">
        <v>4.0999999999999996</v>
      </c>
      <c r="I2128" t="s">
        <v>46</v>
      </c>
      <c r="J2128" t="s">
        <v>33</v>
      </c>
      <c r="K2128" t="s">
        <v>47</v>
      </c>
      <c r="L2128">
        <f t="shared" si="66"/>
        <v>2022</v>
      </c>
      <c r="M2128" t="str">
        <f t="shared" si="67"/>
        <v>COVID Period</v>
      </c>
    </row>
    <row r="2129" spans="1:13" x14ac:dyDescent="0.25">
      <c r="A2129" s="2">
        <v>44613</v>
      </c>
      <c r="B2129" t="s">
        <v>41</v>
      </c>
      <c r="C2129">
        <v>16</v>
      </c>
      <c r="D2129" s="3">
        <v>1.3</v>
      </c>
      <c r="E2129" s="3">
        <v>20.8</v>
      </c>
      <c r="F2129">
        <v>19</v>
      </c>
      <c r="G2129">
        <v>4</v>
      </c>
      <c r="H2129" s="4">
        <v>2.7</v>
      </c>
      <c r="I2129" t="s">
        <v>46</v>
      </c>
      <c r="J2129" t="s">
        <v>33</v>
      </c>
      <c r="K2129" t="s">
        <v>47</v>
      </c>
      <c r="L2129">
        <f t="shared" si="66"/>
        <v>2022</v>
      </c>
      <c r="M2129" t="str">
        <f t="shared" si="67"/>
        <v>COVID Period</v>
      </c>
    </row>
    <row r="2130" spans="1:13" x14ac:dyDescent="0.25">
      <c r="A2130" s="2">
        <v>44613</v>
      </c>
      <c r="B2130" t="s">
        <v>42</v>
      </c>
      <c r="C2130">
        <v>19</v>
      </c>
      <c r="D2130" s="3">
        <v>4.26</v>
      </c>
      <c r="E2130" s="3">
        <v>80.94</v>
      </c>
      <c r="F2130">
        <v>30</v>
      </c>
      <c r="G2130">
        <v>12</v>
      </c>
      <c r="H2130" s="4">
        <v>1.1000000000000001</v>
      </c>
      <c r="I2130" t="s">
        <v>46</v>
      </c>
      <c r="J2130" t="s">
        <v>33</v>
      </c>
      <c r="K2130" t="s">
        <v>47</v>
      </c>
      <c r="L2130">
        <f t="shared" si="66"/>
        <v>2022</v>
      </c>
      <c r="M2130" t="str">
        <f t="shared" si="67"/>
        <v>COVID Period</v>
      </c>
    </row>
    <row r="2131" spans="1:13" x14ac:dyDescent="0.25">
      <c r="A2131" s="2">
        <v>44613</v>
      </c>
      <c r="B2131" t="s">
        <v>43</v>
      </c>
      <c r="C2131">
        <v>9</v>
      </c>
      <c r="D2131" s="3">
        <v>5.45</v>
      </c>
      <c r="E2131" s="3">
        <v>49.05</v>
      </c>
      <c r="F2131">
        <v>11</v>
      </c>
      <c r="G2131">
        <v>3</v>
      </c>
      <c r="H2131" s="4">
        <v>2.8</v>
      </c>
      <c r="I2131" t="s">
        <v>46</v>
      </c>
      <c r="J2131" t="s">
        <v>33</v>
      </c>
      <c r="L2131">
        <f t="shared" si="66"/>
        <v>2022</v>
      </c>
      <c r="M2131" t="str">
        <f t="shared" si="67"/>
        <v>COVID Period</v>
      </c>
    </row>
    <row r="2132" spans="1:13" x14ac:dyDescent="0.25">
      <c r="A2132" s="2">
        <v>44613</v>
      </c>
      <c r="B2132" t="s">
        <v>44</v>
      </c>
      <c r="C2132">
        <v>2</v>
      </c>
      <c r="D2132" s="3">
        <v>4.6900000000000004</v>
      </c>
      <c r="E2132" s="3">
        <v>9.3800000000000008</v>
      </c>
      <c r="F2132">
        <v>3</v>
      </c>
      <c r="G2132">
        <v>1</v>
      </c>
      <c r="H2132" s="4">
        <v>3.1</v>
      </c>
      <c r="I2132" t="s">
        <v>46</v>
      </c>
      <c r="J2132" t="s">
        <v>33</v>
      </c>
      <c r="K2132" t="s">
        <v>47</v>
      </c>
      <c r="L2132">
        <f t="shared" si="66"/>
        <v>2022</v>
      </c>
      <c r="M2132" t="str">
        <f t="shared" si="67"/>
        <v>COVID Period</v>
      </c>
    </row>
    <row r="2133" spans="1:13" x14ac:dyDescent="0.25">
      <c r="A2133" s="2">
        <v>44613</v>
      </c>
      <c r="B2133" t="s">
        <v>45</v>
      </c>
      <c r="C2133">
        <v>1</v>
      </c>
      <c r="D2133" s="3">
        <v>15.16</v>
      </c>
      <c r="E2133" s="3">
        <v>15.16</v>
      </c>
      <c r="F2133">
        <v>3</v>
      </c>
      <c r="G2133">
        <v>2</v>
      </c>
      <c r="H2133" s="4">
        <v>2</v>
      </c>
      <c r="I2133" t="s">
        <v>46</v>
      </c>
      <c r="J2133" t="s">
        <v>33</v>
      </c>
      <c r="L2133">
        <f t="shared" si="66"/>
        <v>2022</v>
      </c>
      <c r="M2133" t="str">
        <f t="shared" si="67"/>
        <v>COVID Period</v>
      </c>
    </row>
    <row r="2134" spans="1:13" x14ac:dyDescent="0.25">
      <c r="A2134" s="2">
        <v>44620</v>
      </c>
      <c r="B2134" t="s">
        <v>32</v>
      </c>
      <c r="C2134">
        <v>20</v>
      </c>
      <c r="D2134" s="3">
        <v>6.88</v>
      </c>
      <c r="E2134" s="3">
        <v>137.6</v>
      </c>
      <c r="F2134">
        <v>27</v>
      </c>
      <c r="G2134">
        <v>11</v>
      </c>
      <c r="H2134" s="4">
        <v>2.2999999999999998</v>
      </c>
      <c r="I2134" t="s">
        <v>33</v>
      </c>
      <c r="J2134" t="s">
        <v>33</v>
      </c>
      <c r="L2134">
        <f t="shared" si="66"/>
        <v>2022</v>
      </c>
      <c r="M2134" t="str">
        <f t="shared" si="67"/>
        <v>COVID Period</v>
      </c>
    </row>
    <row r="2135" spans="1:13" x14ac:dyDescent="0.25">
      <c r="A2135" s="2">
        <v>44620</v>
      </c>
      <c r="B2135" t="s">
        <v>34</v>
      </c>
      <c r="C2135">
        <v>18</v>
      </c>
      <c r="D2135" s="3">
        <v>6.91</v>
      </c>
      <c r="E2135" s="3">
        <v>124.38</v>
      </c>
      <c r="F2135">
        <v>26</v>
      </c>
      <c r="G2135">
        <v>8</v>
      </c>
      <c r="H2135" s="4">
        <v>1.1000000000000001</v>
      </c>
      <c r="I2135" t="s">
        <v>33</v>
      </c>
      <c r="J2135" t="s">
        <v>33</v>
      </c>
      <c r="L2135">
        <f t="shared" si="66"/>
        <v>2022</v>
      </c>
      <c r="M2135" t="str">
        <f t="shared" si="67"/>
        <v>COVID Period</v>
      </c>
    </row>
    <row r="2136" spans="1:13" x14ac:dyDescent="0.25">
      <c r="A2136" s="2">
        <v>44620</v>
      </c>
      <c r="B2136" t="s">
        <v>35</v>
      </c>
      <c r="C2136">
        <v>14</v>
      </c>
      <c r="D2136" s="3">
        <v>5.84</v>
      </c>
      <c r="E2136" s="3">
        <v>81.760000000000005</v>
      </c>
      <c r="F2136">
        <v>21</v>
      </c>
      <c r="G2136">
        <v>7</v>
      </c>
      <c r="H2136" s="4">
        <v>1.6</v>
      </c>
      <c r="I2136" t="s">
        <v>33</v>
      </c>
      <c r="J2136" t="s">
        <v>33</v>
      </c>
      <c r="L2136">
        <f t="shared" si="66"/>
        <v>2022</v>
      </c>
      <c r="M2136" t="str">
        <f t="shared" si="67"/>
        <v>COVID Period</v>
      </c>
    </row>
    <row r="2137" spans="1:13" x14ac:dyDescent="0.25">
      <c r="A2137" s="2">
        <v>44620</v>
      </c>
      <c r="B2137" t="s">
        <v>36</v>
      </c>
      <c r="C2137">
        <v>11</v>
      </c>
      <c r="D2137" s="3">
        <v>6.25</v>
      </c>
      <c r="E2137" s="3">
        <v>68.75</v>
      </c>
      <c r="F2137">
        <v>15</v>
      </c>
      <c r="G2137">
        <v>6</v>
      </c>
      <c r="H2137" s="4">
        <v>0.5</v>
      </c>
      <c r="I2137" t="s">
        <v>33</v>
      </c>
      <c r="J2137" t="s">
        <v>33</v>
      </c>
      <c r="L2137">
        <f t="shared" si="66"/>
        <v>2022</v>
      </c>
      <c r="M2137" t="str">
        <f t="shared" si="67"/>
        <v>COVID Period</v>
      </c>
    </row>
    <row r="2138" spans="1:13" x14ac:dyDescent="0.25">
      <c r="A2138" s="2">
        <v>44620</v>
      </c>
      <c r="B2138" t="s">
        <v>37</v>
      </c>
      <c r="C2138">
        <v>26</v>
      </c>
      <c r="D2138" s="3">
        <v>3.25</v>
      </c>
      <c r="E2138" s="3">
        <v>84.5</v>
      </c>
      <c r="F2138">
        <v>36</v>
      </c>
      <c r="G2138">
        <v>10</v>
      </c>
      <c r="H2138" s="4">
        <v>3.2</v>
      </c>
      <c r="I2138" t="s">
        <v>33</v>
      </c>
      <c r="J2138" t="s">
        <v>33</v>
      </c>
      <c r="L2138">
        <f t="shared" si="66"/>
        <v>2022</v>
      </c>
      <c r="M2138" t="str">
        <f t="shared" si="67"/>
        <v>COVID Period</v>
      </c>
    </row>
    <row r="2139" spans="1:13" x14ac:dyDescent="0.25">
      <c r="A2139" s="2">
        <v>44620</v>
      </c>
      <c r="B2139" t="s">
        <v>38</v>
      </c>
      <c r="C2139">
        <v>14</v>
      </c>
      <c r="D2139" s="3">
        <v>8.4499999999999993</v>
      </c>
      <c r="E2139" s="3">
        <v>118.3</v>
      </c>
      <c r="F2139">
        <v>16</v>
      </c>
      <c r="G2139">
        <v>4</v>
      </c>
      <c r="H2139" s="4">
        <v>1.3</v>
      </c>
      <c r="I2139" t="s">
        <v>33</v>
      </c>
      <c r="J2139" t="s">
        <v>33</v>
      </c>
      <c r="L2139">
        <f t="shared" si="66"/>
        <v>2022</v>
      </c>
      <c r="M2139" t="str">
        <f t="shared" si="67"/>
        <v>COVID Period</v>
      </c>
    </row>
    <row r="2140" spans="1:13" x14ac:dyDescent="0.25">
      <c r="A2140" s="2">
        <v>44620</v>
      </c>
      <c r="B2140" t="s">
        <v>39</v>
      </c>
      <c r="C2140">
        <v>19</v>
      </c>
      <c r="D2140" s="3">
        <v>11.79</v>
      </c>
      <c r="E2140" s="3">
        <v>224.01</v>
      </c>
      <c r="F2140">
        <v>28</v>
      </c>
      <c r="G2140">
        <v>10</v>
      </c>
      <c r="H2140" s="4">
        <v>2.7</v>
      </c>
      <c r="I2140" t="s">
        <v>33</v>
      </c>
      <c r="J2140" t="s">
        <v>33</v>
      </c>
      <c r="L2140">
        <f t="shared" si="66"/>
        <v>2022</v>
      </c>
      <c r="M2140" t="str">
        <f t="shared" si="67"/>
        <v>COVID Period</v>
      </c>
    </row>
    <row r="2141" spans="1:13" x14ac:dyDescent="0.25">
      <c r="A2141" s="2">
        <v>44620</v>
      </c>
      <c r="B2141" t="s">
        <v>40</v>
      </c>
      <c r="C2141">
        <v>26</v>
      </c>
      <c r="D2141" s="3">
        <v>0.66</v>
      </c>
      <c r="E2141" s="3">
        <v>17.16</v>
      </c>
      <c r="F2141">
        <v>43</v>
      </c>
      <c r="G2141">
        <v>19</v>
      </c>
      <c r="H2141" s="4">
        <v>1.6</v>
      </c>
      <c r="I2141" t="s">
        <v>46</v>
      </c>
      <c r="J2141" t="s">
        <v>33</v>
      </c>
      <c r="K2141" t="s">
        <v>47</v>
      </c>
      <c r="L2141">
        <f t="shared" si="66"/>
        <v>2022</v>
      </c>
      <c r="M2141" t="str">
        <f t="shared" si="67"/>
        <v>COVID Period</v>
      </c>
    </row>
    <row r="2142" spans="1:13" x14ac:dyDescent="0.25">
      <c r="A2142" s="2">
        <v>44620</v>
      </c>
      <c r="B2142" t="s">
        <v>41</v>
      </c>
      <c r="C2142">
        <v>16</v>
      </c>
      <c r="D2142" s="3">
        <v>1.4</v>
      </c>
      <c r="E2142" s="3">
        <v>22.4</v>
      </c>
      <c r="F2142">
        <v>24</v>
      </c>
      <c r="G2142">
        <v>9</v>
      </c>
      <c r="H2142" s="4">
        <v>2.2999999999999998</v>
      </c>
      <c r="I2142" t="s">
        <v>46</v>
      </c>
      <c r="J2142" t="s">
        <v>33</v>
      </c>
      <c r="K2142" t="s">
        <v>47</v>
      </c>
      <c r="L2142">
        <f t="shared" si="66"/>
        <v>2022</v>
      </c>
      <c r="M2142" t="str">
        <f t="shared" si="67"/>
        <v>COVID Period</v>
      </c>
    </row>
    <row r="2143" spans="1:13" x14ac:dyDescent="0.25">
      <c r="A2143" s="2">
        <v>44620</v>
      </c>
      <c r="B2143" t="s">
        <v>42</v>
      </c>
      <c r="C2143">
        <v>22</v>
      </c>
      <c r="D2143" s="3">
        <v>4.22</v>
      </c>
      <c r="E2143" s="3">
        <v>92.84</v>
      </c>
      <c r="F2143">
        <v>26</v>
      </c>
      <c r="G2143">
        <v>8</v>
      </c>
      <c r="H2143" s="4">
        <v>3</v>
      </c>
      <c r="I2143" t="s">
        <v>46</v>
      </c>
      <c r="J2143" t="s">
        <v>33</v>
      </c>
      <c r="K2143" t="s">
        <v>47</v>
      </c>
      <c r="L2143">
        <f t="shared" si="66"/>
        <v>2022</v>
      </c>
      <c r="M2143" t="str">
        <f t="shared" si="67"/>
        <v>COVID Period</v>
      </c>
    </row>
    <row r="2144" spans="1:13" x14ac:dyDescent="0.25">
      <c r="A2144" s="2">
        <v>44620</v>
      </c>
      <c r="B2144" t="s">
        <v>43</v>
      </c>
      <c r="C2144">
        <v>11</v>
      </c>
      <c r="D2144" s="3">
        <v>5.72</v>
      </c>
      <c r="E2144" s="3">
        <v>62.92</v>
      </c>
      <c r="F2144">
        <v>18</v>
      </c>
      <c r="G2144">
        <v>9</v>
      </c>
      <c r="H2144" s="4">
        <v>3</v>
      </c>
      <c r="I2144" t="s">
        <v>46</v>
      </c>
      <c r="J2144" t="s">
        <v>33</v>
      </c>
      <c r="L2144">
        <f t="shared" si="66"/>
        <v>2022</v>
      </c>
      <c r="M2144" t="str">
        <f t="shared" si="67"/>
        <v>COVID Period</v>
      </c>
    </row>
    <row r="2145" spans="1:13" x14ac:dyDescent="0.25">
      <c r="A2145" s="2">
        <v>44620</v>
      </c>
      <c r="B2145" t="s">
        <v>44</v>
      </c>
      <c r="C2145">
        <v>2</v>
      </c>
      <c r="D2145" s="3">
        <v>4.88</v>
      </c>
      <c r="E2145" s="3">
        <v>9.76</v>
      </c>
      <c r="F2145">
        <v>3</v>
      </c>
      <c r="G2145">
        <v>1</v>
      </c>
      <c r="H2145" s="4">
        <v>2.2999999999999998</v>
      </c>
      <c r="I2145" t="s">
        <v>46</v>
      </c>
      <c r="J2145" t="s">
        <v>33</v>
      </c>
      <c r="K2145" t="s">
        <v>47</v>
      </c>
      <c r="L2145">
        <f t="shared" si="66"/>
        <v>2022</v>
      </c>
      <c r="M2145" t="str">
        <f t="shared" si="67"/>
        <v>COVID Period</v>
      </c>
    </row>
    <row r="2146" spans="1:13" x14ac:dyDescent="0.25">
      <c r="A2146" s="2">
        <v>44620</v>
      </c>
      <c r="B2146" t="s">
        <v>45</v>
      </c>
      <c r="C2146">
        <v>0</v>
      </c>
      <c r="D2146" s="3">
        <v>15.51</v>
      </c>
      <c r="E2146" s="3">
        <v>0</v>
      </c>
      <c r="F2146">
        <v>3</v>
      </c>
      <c r="G2146">
        <v>3</v>
      </c>
      <c r="H2146" s="4">
        <v>2.2000000000000002</v>
      </c>
      <c r="I2146" t="s">
        <v>46</v>
      </c>
      <c r="J2146" t="s">
        <v>33</v>
      </c>
      <c r="L2146">
        <f t="shared" si="66"/>
        <v>2022</v>
      </c>
      <c r="M2146" t="str">
        <f t="shared" si="67"/>
        <v>COVID Period</v>
      </c>
    </row>
    <row r="2147" spans="1:13" x14ac:dyDescent="0.25">
      <c r="A2147" s="2">
        <v>44627</v>
      </c>
      <c r="B2147" t="s">
        <v>32</v>
      </c>
      <c r="C2147">
        <v>24</v>
      </c>
      <c r="D2147" s="3">
        <v>6.63</v>
      </c>
      <c r="E2147" s="3">
        <v>159.12</v>
      </c>
      <c r="F2147">
        <v>32</v>
      </c>
      <c r="G2147">
        <v>10</v>
      </c>
      <c r="H2147" s="4">
        <v>0</v>
      </c>
      <c r="I2147" t="s">
        <v>33</v>
      </c>
      <c r="J2147" t="s">
        <v>33</v>
      </c>
      <c r="L2147">
        <f t="shared" si="66"/>
        <v>2022</v>
      </c>
      <c r="M2147" t="str">
        <f t="shared" si="67"/>
        <v>COVID Period</v>
      </c>
    </row>
    <row r="2148" spans="1:13" x14ac:dyDescent="0.25">
      <c r="A2148" s="2">
        <v>44627</v>
      </c>
      <c r="B2148" t="s">
        <v>34</v>
      </c>
      <c r="C2148">
        <v>26</v>
      </c>
      <c r="D2148" s="3">
        <v>6.92</v>
      </c>
      <c r="E2148" s="3">
        <v>179.92</v>
      </c>
      <c r="F2148">
        <v>33</v>
      </c>
      <c r="G2148">
        <v>11</v>
      </c>
      <c r="H2148" s="4">
        <v>2.5</v>
      </c>
      <c r="I2148" t="s">
        <v>33</v>
      </c>
      <c r="J2148" t="s">
        <v>33</v>
      </c>
      <c r="L2148">
        <f t="shared" si="66"/>
        <v>2022</v>
      </c>
      <c r="M2148" t="str">
        <f t="shared" si="67"/>
        <v>COVID Period</v>
      </c>
    </row>
    <row r="2149" spans="1:13" x14ac:dyDescent="0.25">
      <c r="A2149" s="2">
        <v>44627</v>
      </c>
      <c r="B2149" t="s">
        <v>35</v>
      </c>
      <c r="C2149">
        <v>14</v>
      </c>
      <c r="D2149" s="3">
        <v>5.97</v>
      </c>
      <c r="E2149" s="3">
        <v>83.58</v>
      </c>
      <c r="F2149">
        <v>20</v>
      </c>
      <c r="G2149">
        <v>9</v>
      </c>
      <c r="H2149" s="4">
        <v>1.8</v>
      </c>
      <c r="I2149" t="s">
        <v>33</v>
      </c>
      <c r="J2149" t="s">
        <v>33</v>
      </c>
      <c r="L2149">
        <f t="shared" si="66"/>
        <v>2022</v>
      </c>
      <c r="M2149" t="str">
        <f t="shared" si="67"/>
        <v>COVID Period</v>
      </c>
    </row>
    <row r="2150" spans="1:13" x14ac:dyDescent="0.25">
      <c r="A2150" s="2">
        <v>44627</v>
      </c>
      <c r="B2150" t="s">
        <v>36</v>
      </c>
      <c r="C2150">
        <v>15</v>
      </c>
      <c r="D2150" s="3">
        <v>6.26</v>
      </c>
      <c r="E2150" s="3">
        <v>93.9</v>
      </c>
      <c r="F2150">
        <v>16</v>
      </c>
      <c r="G2150">
        <v>2</v>
      </c>
      <c r="H2150" s="4">
        <v>1.5</v>
      </c>
      <c r="I2150" t="s">
        <v>33</v>
      </c>
      <c r="J2150" t="s">
        <v>33</v>
      </c>
      <c r="L2150">
        <f t="shared" si="66"/>
        <v>2022</v>
      </c>
      <c r="M2150" t="str">
        <f t="shared" si="67"/>
        <v>COVID Period</v>
      </c>
    </row>
    <row r="2151" spans="1:13" x14ac:dyDescent="0.25">
      <c r="A2151" s="2">
        <v>44627</v>
      </c>
      <c r="B2151" t="s">
        <v>37</v>
      </c>
      <c r="C2151">
        <v>43</v>
      </c>
      <c r="D2151" s="3">
        <v>3.35</v>
      </c>
      <c r="E2151" s="3">
        <v>144.05000000000001</v>
      </c>
      <c r="F2151">
        <v>48</v>
      </c>
      <c r="G2151">
        <v>10</v>
      </c>
      <c r="H2151" s="4">
        <v>1.3</v>
      </c>
      <c r="I2151" t="s">
        <v>33</v>
      </c>
      <c r="J2151" t="s">
        <v>33</v>
      </c>
      <c r="L2151">
        <f t="shared" si="66"/>
        <v>2022</v>
      </c>
      <c r="M2151" t="str">
        <f t="shared" si="67"/>
        <v>COVID Period</v>
      </c>
    </row>
    <row r="2152" spans="1:13" x14ac:dyDescent="0.25">
      <c r="A2152" s="2">
        <v>44627</v>
      </c>
      <c r="B2152" t="s">
        <v>38</v>
      </c>
      <c r="C2152">
        <v>18</v>
      </c>
      <c r="D2152" s="3">
        <v>8.85</v>
      </c>
      <c r="E2152" s="3">
        <v>159.30000000000001</v>
      </c>
      <c r="F2152">
        <v>20</v>
      </c>
      <c r="G2152">
        <v>2</v>
      </c>
      <c r="H2152" s="4">
        <v>1.6</v>
      </c>
      <c r="I2152" t="s">
        <v>33</v>
      </c>
      <c r="J2152" t="s">
        <v>33</v>
      </c>
      <c r="L2152">
        <f t="shared" si="66"/>
        <v>2022</v>
      </c>
      <c r="M2152" t="str">
        <f t="shared" si="67"/>
        <v>COVID Period</v>
      </c>
    </row>
    <row r="2153" spans="1:13" x14ac:dyDescent="0.25">
      <c r="A2153" s="2">
        <v>44627</v>
      </c>
      <c r="B2153" t="s">
        <v>39</v>
      </c>
      <c r="C2153">
        <v>46</v>
      </c>
      <c r="D2153" s="3">
        <v>11.79</v>
      </c>
      <c r="E2153" s="3">
        <v>542.34</v>
      </c>
      <c r="F2153">
        <v>53</v>
      </c>
      <c r="G2153">
        <v>13</v>
      </c>
      <c r="H2153" s="4">
        <v>1.2</v>
      </c>
      <c r="I2153" t="s">
        <v>46</v>
      </c>
      <c r="J2153" t="s">
        <v>33</v>
      </c>
      <c r="K2153" t="s">
        <v>48</v>
      </c>
      <c r="L2153">
        <f t="shared" si="66"/>
        <v>2022</v>
      </c>
      <c r="M2153" t="str">
        <f t="shared" si="67"/>
        <v>COVID Period</v>
      </c>
    </row>
    <row r="2154" spans="1:13" x14ac:dyDescent="0.25">
      <c r="A2154" s="2">
        <v>44627</v>
      </c>
      <c r="B2154" t="s">
        <v>40</v>
      </c>
      <c r="C2154">
        <v>22</v>
      </c>
      <c r="D2154" s="3">
        <v>0.67</v>
      </c>
      <c r="E2154" s="3">
        <v>14.74</v>
      </c>
      <c r="F2154">
        <v>24</v>
      </c>
      <c r="G2154">
        <v>3</v>
      </c>
      <c r="H2154" s="4">
        <v>1</v>
      </c>
      <c r="I2154" t="s">
        <v>46</v>
      </c>
      <c r="J2154" t="s">
        <v>33</v>
      </c>
      <c r="K2154" t="s">
        <v>47</v>
      </c>
      <c r="L2154">
        <f t="shared" si="66"/>
        <v>2022</v>
      </c>
      <c r="M2154" t="str">
        <f t="shared" si="67"/>
        <v>COVID Period</v>
      </c>
    </row>
    <row r="2155" spans="1:13" x14ac:dyDescent="0.25">
      <c r="A2155" s="2">
        <v>44627</v>
      </c>
      <c r="B2155" t="s">
        <v>41</v>
      </c>
      <c r="C2155">
        <v>17</v>
      </c>
      <c r="D2155" s="3">
        <v>1.35</v>
      </c>
      <c r="E2155" s="3">
        <v>22.95</v>
      </c>
      <c r="F2155">
        <v>21</v>
      </c>
      <c r="G2155">
        <v>8</v>
      </c>
      <c r="H2155" s="4">
        <v>3.3</v>
      </c>
      <c r="I2155" t="s">
        <v>46</v>
      </c>
      <c r="J2155" t="s">
        <v>33</v>
      </c>
      <c r="K2155" t="s">
        <v>47</v>
      </c>
      <c r="L2155">
        <f t="shared" si="66"/>
        <v>2022</v>
      </c>
      <c r="M2155" t="str">
        <f t="shared" si="67"/>
        <v>COVID Period</v>
      </c>
    </row>
    <row r="2156" spans="1:13" x14ac:dyDescent="0.25">
      <c r="A2156" s="2">
        <v>44627</v>
      </c>
      <c r="B2156" t="s">
        <v>42</v>
      </c>
      <c r="C2156">
        <v>21</v>
      </c>
      <c r="D2156" s="3">
        <v>4.0999999999999996</v>
      </c>
      <c r="E2156" s="3">
        <v>86.1</v>
      </c>
      <c r="F2156">
        <v>22</v>
      </c>
      <c r="G2156">
        <v>4</v>
      </c>
      <c r="H2156" s="4">
        <v>2.7</v>
      </c>
      <c r="I2156" t="s">
        <v>46</v>
      </c>
      <c r="J2156" t="s">
        <v>33</v>
      </c>
      <c r="K2156" t="s">
        <v>47</v>
      </c>
      <c r="L2156">
        <f t="shared" si="66"/>
        <v>2022</v>
      </c>
      <c r="M2156" t="str">
        <f t="shared" si="67"/>
        <v>COVID Period</v>
      </c>
    </row>
    <row r="2157" spans="1:13" x14ac:dyDescent="0.25">
      <c r="A2157" s="2">
        <v>44627</v>
      </c>
      <c r="B2157" t="s">
        <v>43</v>
      </c>
      <c r="C2157">
        <v>13</v>
      </c>
      <c r="D2157" s="3">
        <v>5.57</v>
      </c>
      <c r="E2157" s="3">
        <v>72.41</v>
      </c>
      <c r="F2157">
        <v>18</v>
      </c>
      <c r="G2157">
        <v>7</v>
      </c>
      <c r="H2157" s="4">
        <v>2.8</v>
      </c>
      <c r="I2157" t="s">
        <v>46</v>
      </c>
      <c r="J2157" t="s">
        <v>33</v>
      </c>
      <c r="L2157">
        <f t="shared" si="66"/>
        <v>2022</v>
      </c>
      <c r="M2157" t="str">
        <f t="shared" si="67"/>
        <v>COVID Period</v>
      </c>
    </row>
    <row r="2158" spans="1:13" x14ac:dyDescent="0.25">
      <c r="A2158" s="2">
        <v>44627</v>
      </c>
      <c r="B2158" t="s">
        <v>44</v>
      </c>
      <c r="C2158">
        <v>1</v>
      </c>
      <c r="D2158" s="3">
        <v>4.8899999999999997</v>
      </c>
      <c r="E2158" s="3">
        <v>4.8899999999999997</v>
      </c>
      <c r="F2158">
        <v>3</v>
      </c>
      <c r="G2158">
        <v>2</v>
      </c>
      <c r="H2158" s="4">
        <v>0.6</v>
      </c>
      <c r="I2158" t="s">
        <v>46</v>
      </c>
      <c r="J2158" t="s">
        <v>33</v>
      </c>
      <c r="K2158" t="s">
        <v>47</v>
      </c>
      <c r="L2158">
        <f t="shared" si="66"/>
        <v>2022</v>
      </c>
      <c r="M2158" t="str">
        <f t="shared" si="67"/>
        <v>COVID Period</v>
      </c>
    </row>
    <row r="2159" spans="1:13" x14ac:dyDescent="0.25">
      <c r="A2159" s="2">
        <v>44627</v>
      </c>
      <c r="B2159" t="s">
        <v>45</v>
      </c>
      <c r="C2159">
        <v>0</v>
      </c>
      <c r="D2159" s="3">
        <v>15.4</v>
      </c>
      <c r="E2159" s="3">
        <v>0</v>
      </c>
      <c r="F2159">
        <v>3</v>
      </c>
      <c r="G2159">
        <v>3</v>
      </c>
      <c r="H2159" s="4">
        <v>1.9</v>
      </c>
      <c r="I2159" t="s">
        <v>46</v>
      </c>
      <c r="J2159" t="s">
        <v>33</v>
      </c>
      <c r="L2159">
        <f t="shared" si="66"/>
        <v>2022</v>
      </c>
      <c r="M2159" t="str">
        <f t="shared" si="67"/>
        <v>COVID Period</v>
      </c>
    </row>
    <row r="2160" spans="1:13" x14ac:dyDescent="0.25">
      <c r="A2160" s="2">
        <v>44634</v>
      </c>
      <c r="B2160" t="s">
        <v>32</v>
      </c>
      <c r="C2160">
        <v>19</v>
      </c>
      <c r="D2160" s="3">
        <v>6.54</v>
      </c>
      <c r="E2160" s="3">
        <v>124.26</v>
      </c>
      <c r="F2160">
        <v>26</v>
      </c>
      <c r="G2160">
        <v>9</v>
      </c>
      <c r="H2160" s="4">
        <v>2.8</v>
      </c>
      <c r="I2160" t="s">
        <v>33</v>
      </c>
      <c r="J2160" t="s">
        <v>33</v>
      </c>
      <c r="L2160">
        <f t="shared" si="66"/>
        <v>2022</v>
      </c>
      <c r="M2160" t="str">
        <f t="shared" si="67"/>
        <v>COVID Period</v>
      </c>
    </row>
    <row r="2161" spans="1:13" x14ac:dyDescent="0.25">
      <c r="A2161" s="2">
        <v>44634</v>
      </c>
      <c r="B2161" t="s">
        <v>34</v>
      </c>
      <c r="C2161">
        <v>22</v>
      </c>
      <c r="D2161" s="3">
        <v>6.87</v>
      </c>
      <c r="E2161" s="3">
        <v>151.13999999999999</v>
      </c>
      <c r="F2161">
        <v>31</v>
      </c>
      <c r="G2161">
        <v>14</v>
      </c>
      <c r="H2161" s="4">
        <v>2.2000000000000002</v>
      </c>
      <c r="I2161" t="s">
        <v>33</v>
      </c>
      <c r="J2161" t="s">
        <v>33</v>
      </c>
      <c r="L2161">
        <f t="shared" si="66"/>
        <v>2022</v>
      </c>
      <c r="M2161" t="str">
        <f t="shared" si="67"/>
        <v>COVID Period</v>
      </c>
    </row>
    <row r="2162" spans="1:13" x14ac:dyDescent="0.25">
      <c r="A2162" s="2">
        <v>44634</v>
      </c>
      <c r="B2162" t="s">
        <v>35</v>
      </c>
      <c r="C2162">
        <v>11</v>
      </c>
      <c r="D2162" s="3">
        <v>5.84</v>
      </c>
      <c r="E2162" s="3">
        <v>64.239999999999995</v>
      </c>
      <c r="F2162">
        <v>11</v>
      </c>
      <c r="G2162">
        <v>2</v>
      </c>
      <c r="H2162" s="4">
        <v>1.2</v>
      </c>
      <c r="I2162" t="s">
        <v>33</v>
      </c>
      <c r="J2162" t="s">
        <v>33</v>
      </c>
      <c r="L2162">
        <f t="shared" si="66"/>
        <v>2022</v>
      </c>
      <c r="M2162" t="str">
        <f t="shared" si="67"/>
        <v>COVID Period</v>
      </c>
    </row>
    <row r="2163" spans="1:13" x14ac:dyDescent="0.25">
      <c r="A2163" s="2">
        <v>44634</v>
      </c>
      <c r="B2163" t="s">
        <v>36</v>
      </c>
      <c r="C2163">
        <v>13</v>
      </c>
      <c r="D2163" s="3">
        <v>6.24</v>
      </c>
      <c r="E2163" s="3">
        <v>81.12</v>
      </c>
      <c r="F2163">
        <v>16</v>
      </c>
      <c r="G2163">
        <v>6</v>
      </c>
      <c r="H2163" s="4">
        <v>1.9</v>
      </c>
      <c r="I2163" t="s">
        <v>33</v>
      </c>
      <c r="J2163" t="s">
        <v>33</v>
      </c>
      <c r="L2163">
        <f t="shared" si="66"/>
        <v>2022</v>
      </c>
      <c r="M2163" t="str">
        <f t="shared" si="67"/>
        <v>COVID Period</v>
      </c>
    </row>
    <row r="2164" spans="1:13" x14ac:dyDescent="0.25">
      <c r="A2164" s="2">
        <v>44634</v>
      </c>
      <c r="B2164" t="s">
        <v>37</v>
      </c>
      <c r="C2164">
        <v>29</v>
      </c>
      <c r="D2164" s="3">
        <v>3.32</v>
      </c>
      <c r="E2164" s="3">
        <v>96.28</v>
      </c>
      <c r="F2164">
        <v>36</v>
      </c>
      <c r="G2164">
        <v>12</v>
      </c>
      <c r="H2164" s="4">
        <v>0.6</v>
      </c>
      <c r="I2164" t="s">
        <v>33</v>
      </c>
      <c r="J2164" t="s">
        <v>33</v>
      </c>
      <c r="L2164">
        <f t="shared" si="66"/>
        <v>2022</v>
      </c>
      <c r="M2164" t="str">
        <f t="shared" si="67"/>
        <v>COVID Period</v>
      </c>
    </row>
    <row r="2165" spans="1:13" x14ac:dyDescent="0.25">
      <c r="A2165" s="2">
        <v>44634</v>
      </c>
      <c r="B2165" t="s">
        <v>38</v>
      </c>
      <c r="C2165">
        <v>17</v>
      </c>
      <c r="D2165" s="3">
        <v>8.85</v>
      </c>
      <c r="E2165" s="3">
        <v>150.44999999999999</v>
      </c>
      <c r="F2165">
        <v>22</v>
      </c>
      <c r="G2165">
        <v>9</v>
      </c>
      <c r="H2165" s="4">
        <v>2.1</v>
      </c>
      <c r="I2165" t="s">
        <v>33</v>
      </c>
      <c r="J2165" t="s">
        <v>33</v>
      </c>
      <c r="L2165">
        <f t="shared" si="66"/>
        <v>2022</v>
      </c>
      <c r="M2165" t="str">
        <f t="shared" si="67"/>
        <v>COVID Period</v>
      </c>
    </row>
    <row r="2166" spans="1:13" x14ac:dyDescent="0.25">
      <c r="A2166" s="2">
        <v>44634</v>
      </c>
      <c r="B2166" t="s">
        <v>39</v>
      </c>
      <c r="C2166">
        <v>27</v>
      </c>
      <c r="D2166" s="3">
        <v>11.84</v>
      </c>
      <c r="E2166" s="3">
        <v>319.68</v>
      </c>
      <c r="F2166">
        <v>35</v>
      </c>
      <c r="G2166">
        <v>12</v>
      </c>
      <c r="H2166" s="4">
        <v>1</v>
      </c>
      <c r="I2166" t="s">
        <v>33</v>
      </c>
      <c r="J2166" t="s">
        <v>33</v>
      </c>
      <c r="L2166">
        <f t="shared" si="66"/>
        <v>2022</v>
      </c>
      <c r="M2166" t="str">
        <f t="shared" si="67"/>
        <v>COVID Period</v>
      </c>
    </row>
    <row r="2167" spans="1:13" x14ac:dyDescent="0.25">
      <c r="A2167" s="2">
        <v>44634</v>
      </c>
      <c r="B2167" t="s">
        <v>40</v>
      </c>
      <c r="C2167">
        <v>26</v>
      </c>
      <c r="D2167" s="3">
        <v>0.64</v>
      </c>
      <c r="E2167" s="3">
        <v>16.64</v>
      </c>
      <c r="F2167">
        <v>37</v>
      </c>
      <c r="G2167">
        <v>12</v>
      </c>
      <c r="H2167" s="4">
        <v>3.7</v>
      </c>
      <c r="I2167" t="s">
        <v>46</v>
      </c>
      <c r="J2167" t="s">
        <v>33</v>
      </c>
      <c r="K2167" t="s">
        <v>47</v>
      </c>
      <c r="L2167">
        <f t="shared" si="66"/>
        <v>2022</v>
      </c>
      <c r="M2167" t="str">
        <f t="shared" si="67"/>
        <v>COVID Period</v>
      </c>
    </row>
    <row r="2168" spans="1:13" x14ac:dyDescent="0.25">
      <c r="A2168" s="2">
        <v>44634</v>
      </c>
      <c r="B2168" t="s">
        <v>41</v>
      </c>
      <c r="C2168">
        <v>18</v>
      </c>
      <c r="D2168" s="3">
        <v>1.35</v>
      </c>
      <c r="E2168" s="3">
        <v>24.3</v>
      </c>
      <c r="F2168">
        <v>21</v>
      </c>
      <c r="G2168">
        <v>6</v>
      </c>
      <c r="H2168" s="4">
        <v>5</v>
      </c>
      <c r="I2168" t="s">
        <v>46</v>
      </c>
      <c r="J2168" t="s">
        <v>33</v>
      </c>
      <c r="K2168" t="s">
        <v>47</v>
      </c>
      <c r="L2168">
        <f t="shared" si="66"/>
        <v>2022</v>
      </c>
      <c r="M2168" t="str">
        <f t="shared" si="67"/>
        <v>COVID Period</v>
      </c>
    </row>
    <row r="2169" spans="1:13" x14ac:dyDescent="0.25">
      <c r="A2169" s="2">
        <v>44634</v>
      </c>
      <c r="B2169" t="s">
        <v>42</v>
      </c>
      <c r="C2169">
        <v>17</v>
      </c>
      <c r="D2169" s="3">
        <v>4.24</v>
      </c>
      <c r="E2169" s="3">
        <v>72.08</v>
      </c>
      <c r="F2169">
        <v>19</v>
      </c>
      <c r="G2169">
        <v>2</v>
      </c>
      <c r="H2169" s="4">
        <v>5.4</v>
      </c>
      <c r="I2169" t="s">
        <v>46</v>
      </c>
      <c r="J2169" t="s">
        <v>33</v>
      </c>
      <c r="K2169" t="s">
        <v>47</v>
      </c>
      <c r="L2169">
        <f t="shared" si="66"/>
        <v>2022</v>
      </c>
      <c r="M2169" t="str">
        <f t="shared" si="67"/>
        <v>COVID Period</v>
      </c>
    </row>
    <row r="2170" spans="1:13" x14ac:dyDescent="0.25">
      <c r="A2170" s="2">
        <v>44634</v>
      </c>
      <c r="B2170" t="s">
        <v>43</v>
      </c>
      <c r="C2170">
        <v>10</v>
      </c>
      <c r="D2170" s="3">
        <v>5.58</v>
      </c>
      <c r="E2170" s="3">
        <v>55.8</v>
      </c>
      <c r="F2170">
        <v>15</v>
      </c>
      <c r="G2170">
        <v>7</v>
      </c>
      <c r="H2170" s="4">
        <v>2.9</v>
      </c>
      <c r="I2170" t="s">
        <v>46</v>
      </c>
      <c r="J2170" t="s">
        <v>33</v>
      </c>
      <c r="L2170">
        <f t="shared" si="66"/>
        <v>2022</v>
      </c>
      <c r="M2170" t="str">
        <f t="shared" si="67"/>
        <v>COVID Period</v>
      </c>
    </row>
    <row r="2171" spans="1:13" x14ac:dyDescent="0.25">
      <c r="A2171" s="2">
        <v>44634</v>
      </c>
      <c r="B2171" t="s">
        <v>44</v>
      </c>
      <c r="C2171">
        <v>0</v>
      </c>
      <c r="D2171" s="3">
        <v>5.03</v>
      </c>
      <c r="E2171" s="3">
        <v>0</v>
      </c>
      <c r="F2171">
        <v>3</v>
      </c>
      <c r="G2171">
        <v>3</v>
      </c>
      <c r="H2171" s="4">
        <v>2.6</v>
      </c>
      <c r="I2171" t="s">
        <v>46</v>
      </c>
      <c r="J2171" t="s">
        <v>33</v>
      </c>
      <c r="K2171" t="s">
        <v>47</v>
      </c>
      <c r="L2171">
        <f t="shared" si="66"/>
        <v>2022</v>
      </c>
      <c r="M2171" t="str">
        <f t="shared" si="67"/>
        <v>COVID Period</v>
      </c>
    </row>
    <row r="2172" spans="1:13" x14ac:dyDescent="0.25">
      <c r="A2172" s="2">
        <v>44634</v>
      </c>
      <c r="B2172" t="s">
        <v>45</v>
      </c>
      <c r="C2172">
        <v>1</v>
      </c>
      <c r="D2172" s="3">
        <v>14.52</v>
      </c>
      <c r="E2172" s="3">
        <v>14.52</v>
      </c>
      <c r="F2172">
        <v>3</v>
      </c>
      <c r="G2172">
        <v>2</v>
      </c>
      <c r="H2172" s="4">
        <v>2.5</v>
      </c>
      <c r="I2172" t="s">
        <v>46</v>
      </c>
      <c r="J2172" t="s">
        <v>33</v>
      </c>
      <c r="L2172">
        <f t="shared" si="66"/>
        <v>2022</v>
      </c>
      <c r="M2172" t="str">
        <f t="shared" si="67"/>
        <v>COVID Period</v>
      </c>
    </row>
    <row r="2173" spans="1:13" x14ac:dyDescent="0.25">
      <c r="A2173" s="2">
        <v>44641</v>
      </c>
      <c r="B2173" t="s">
        <v>32</v>
      </c>
      <c r="C2173">
        <v>26</v>
      </c>
      <c r="D2173" s="3">
        <v>6.59</v>
      </c>
      <c r="E2173" s="3">
        <v>171.34</v>
      </c>
      <c r="F2173">
        <v>34</v>
      </c>
      <c r="G2173">
        <v>12</v>
      </c>
      <c r="H2173" s="4">
        <v>2.1</v>
      </c>
      <c r="I2173" t="s">
        <v>33</v>
      </c>
      <c r="J2173" t="s">
        <v>33</v>
      </c>
      <c r="L2173">
        <f t="shared" si="66"/>
        <v>2022</v>
      </c>
      <c r="M2173" t="str">
        <f t="shared" si="67"/>
        <v>COVID Period</v>
      </c>
    </row>
    <row r="2174" spans="1:13" x14ac:dyDescent="0.25">
      <c r="A2174" s="2">
        <v>44641</v>
      </c>
      <c r="B2174" t="s">
        <v>34</v>
      </c>
      <c r="C2174">
        <v>25</v>
      </c>
      <c r="D2174" s="3">
        <v>7.32</v>
      </c>
      <c r="E2174" s="3">
        <v>183</v>
      </c>
      <c r="F2174">
        <v>35</v>
      </c>
      <c r="G2174">
        <v>14</v>
      </c>
      <c r="H2174" s="4">
        <v>1.8</v>
      </c>
      <c r="I2174" t="s">
        <v>33</v>
      </c>
      <c r="J2174" t="s">
        <v>33</v>
      </c>
      <c r="L2174">
        <f t="shared" si="66"/>
        <v>2022</v>
      </c>
      <c r="M2174" t="str">
        <f t="shared" si="67"/>
        <v>COVID Period</v>
      </c>
    </row>
    <row r="2175" spans="1:13" x14ac:dyDescent="0.25">
      <c r="A2175" s="2">
        <v>44641</v>
      </c>
      <c r="B2175" t="s">
        <v>35</v>
      </c>
      <c r="C2175">
        <v>12</v>
      </c>
      <c r="D2175" s="3">
        <v>5.89</v>
      </c>
      <c r="E2175" s="3">
        <v>70.680000000000007</v>
      </c>
      <c r="F2175">
        <v>18</v>
      </c>
      <c r="G2175">
        <v>7</v>
      </c>
      <c r="H2175" s="4">
        <v>3.3</v>
      </c>
      <c r="I2175" t="s">
        <v>33</v>
      </c>
      <c r="J2175" t="s">
        <v>33</v>
      </c>
      <c r="L2175">
        <f t="shared" si="66"/>
        <v>2022</v>
      </c>
      <c r="M2175" t="str">
        <f t="shared" si="67"/>
        <v>COVID Period</v>
      </c>
    </row>
    <row r="2176" spans="1:13" x14ac:dyDescent="0.25">
      <c r="A2176" s="2">
        <v>44641</v>
      </c>
      <c r="B2176" t="s">
        <v>36</v>
      </c>
      <c r="C2176">
        <v>11</v>
      </c>
      <c r="D2176" s="3">
        <v>6.42</v>
      </c>
      <c r="E2176" s="3">
        <v>70.62</v>
      </c>
      <c r="F2176">
        <v>16</v>
      </c>
      <c r="G2176">
        <v>6</v>
      </c>
      <c r="H2176" s="4">
        <v>1.3</v>
      </c>
      <c r="I2176" t="s">
        <v>33</v>
      </c>
      <c r="J2176" t="s">
        <v>33</v>
      </c>
      <c r="L2176">
        <f t="shared" si="66"/>
        <v>2022</v>
      </c>
      <c r="M2176" t="str">
        <f t="shared" si="67"/>
        <v>COVID Period</v>
      </c>
    </row>
    <row r="2177" spans="1:13" x14ac:dyDescent="0.25">
      <c r="A2177" s="2">
        <v>44641</v>
      </c>
      <c r="B2177" t="s">
        <v>37</v>
      </c>
      <c r="C2177">
        <v>32</v>
      </c>
      <c r="D2177" s="3">
        <v>3.24</v>
      </c>
      <c r="E2177" s="3">
        <v>103.68</v>
      </c>
      <c r="F2177">
        <v>35</v>
      </c>
      <c r="G2177">
        <v>8</v>
      </c>
      <c r="H2177" s="4">
        <v>1.6</v>
      </c>
      <c r="I2177" t="s">
        <v>33</v>
      </c>
      <c r="J2177" t="s">
        <v>33</v>
      </c>
      <c r="L2177">
        <f t="shared" si="66"/>
        <v>2022</v>
      </c>
      <c r="M2177" t="str">
        <f t="shared" si="67"/>
        <v>COVID Period</v>
      </c>
    </row>
    <row r="2178" spans="1:13" x14ac:dyDescent="0.25">
      <c r="A2178" s="2">
        <v>44641</v>
      </c>
      <c r="B2178" t="s">
        <v>38</v>
      </c>
      <c r="C2178">
        <v>15</v>
      </c>
      <c r="D2178" s="3">
        <v>8.57</v>
      </c>
      <c r="E2178" s="3">
        <v>128.55000000000001</v>
      </c>
      <c r="F2178">
        <v>15</v>
      </c>
      <c r="G2178">
        <v>2</v>
      </c>
      <c r="H2178" s="4">
        <v>1.8</v>
      </c>
      <c r="I2178" t="s">
        <v>33</v>
      </c>
      <c r="J2178" t="s">
        <v>33</v>
      </c>
      <c r="L2178">
        <f t="shared" ref="L2178:L2241" si="68">YEAR(A2178)</f>
        <v>2022</v>
      </c>
      <c r="M2178" t="str">
        <f t="shared" ref="M2178:M2241" si="69">IF(L2178=2019,"Pre-COVID","COVID Period")</f>
        <v>COVID Period</v>
      </c>
    </row>
    <row r="2179" spans="1:13" x14ac:dyDescent="0.25">
      <c r="A2179" s="2">
        <v>44641</v>
      </c>
      <c r="B2179" t="s">
        <v>39</v>
      </c>
      <c r="C2179">
        <v>28</v>
      </c>
      <c r="D2179" s="3">
        <v>11.22</v>
      </c>
      <c r="E2179" s="3">
        <v>314.16000000000003</v>
      </c>
      <c r="F2179">
        <v>44</v>
      </c>
      <c r="G2179">
        <v>17</v>
      </c>
      <c r="H2179" s="4">
        <v>1.3</v>
      </c>
      <c r="I2179" t="s">
        <v>33</v>
      </c>
      <c r="J2179" t="s">
        <v>33</v>
      </c>
      <c r="L2179">
        <f t="shared" si="68"/>
        <v>2022</v>
      </c>
      <c r="M2179" t="str">
        <f t="shared" si="69"/>
        <v>COVID Period</v>
      </c>
    </row>
    <row r="2180" spans="1:13" x14ac:dyDescent="0.25">
      <c r="A2180" s="2">
        <v>44641</v>
      </c>
      <c r="B2180" t="s">
        <v>40</v>
      </c>
      <c r="C2180">
        <v>29</v>
      </c>
      <c r="D2180" s="3">
        <v>0.68</v>
      </c>
      <c r="E2180" s="3">
        <v>19.72</v>
      </c>
      <c r="F2180">
        <v>30</v>
      </c>
      <c r="G2180">
        <v>6</v>
      </c>
      <c r="H2180" s="4">
        <v>2.6</v>
      </c>
      <c r="I2180" t="s">
        <v>46</v>
      </c>
      <c r="J2180" t="s">
        <v>33</v>
      </c>
      <c r="K2180" t="s">
        <v>47</v>
      </c>
      <c r="L2180">
        <f t="shared" si="68"/>
        <v>2022</v>
      </c>
      <c r="M2180" t="str">
        <f t="shared" si="69"/>
        <v>COVID Period</v>
      </c>
    </row>
    <row r="2181" spans="1:13" x14ac:dyDescent="0.25">
      <c r="A2181" s="2">
        <v>44641</v>
      </c>
      <c r="B2181" t="s">
        <v>41</v>
      </c>
      <c r="C2181">
        <v>15</v>
      </c>
      <c r="D2181" s="3">
        <v>1.3</v>
      </c>
      <c r="E2181" s="3">
        <v>19.5</v>
      </c>
      <c r="F2181">
        <v>24</v>
      </c>
      <c r="G2181">
        <v>12</v>
      </c>
      <c r="H2181" s="4">
        <v>4.7</v>
      </c>
      <c r="I2181" t="s">
        <v>46</v>
      </c>
      <c r="J2181" t="s">
        <v>33</v>
      </c>
      <c r="K2181" t="s">
        <v>47</v>
      </c>
      <c r="L2181">
        <f t="shared" si="68"/>
        <v>2022</v>
      </c>
      <c r="M2181" t="str">
        <f t="shared" si="69"/>
        <v>COVID Period</v>
      </c>
    </row>
    <row r="2182" spans="1:13" x14ac:dyDescent="0.25">
      <c r="A2182" s="2">
        <v>44641</v>
      </c>
      <c r="B2182" t="s">
        <v>42</v>
      </c>
      <c r="C2182">
        <v>23</v>
      </c>
      <c r="D2182" s="3">
        <v>4.24</v>
      </c>
      <c r="E2182" s="3">
        <v>97.52</v>
      </c>
      <c r="F2182">
        <v>24</v>
      </c>
      <c r="G2182">
        <v>2</v>
      </c>
      <c r="H2182" s="4">
        <v>3</v>
      </c>
      <c r="I2182" t="s">
        <v>46</v>
      </c>
      <c r="J2182" t="s">
        <v>33</v>
      </c>
      <c r="K2182" t="s">
        <v>47</v>
      </c>
      <c r="L2182">
        <f t="shared" si="68"/>
        <v>2022</v>
      </c>
      <c r="M2182" t="str">
        <f t="shared" si="69"/>
        <v>COVID Period</v>
      </c>
    </row>
    <row r="2183" spans="1:13" x14ac:dyDescent="0.25">
      <c r="A2183" s="2">
        <v>44641</v>
      </c>
      <c r="B2183" t="s">
        <v>43</v>
      </c>
      <c r="C2183">
        <v>14</v>
      </c>
      <c r="D2183" s="3">
        <v>5.58</v>
      </c>
      <c r="E2183" s="3">
        <v>78.12</v>
      </c>
      <c r="F2183">
        <v>23</v>
      </c>
      <c r="G2183">
        <v>13</v>
      </c>
      <c r="H2183" s="4">
        <v>3.1</v>
      </c>
      <c r="I2183" t="s">
        <v>46</v>
      </c>
      <c r="J2183" t="s">
        <v>33</v>
      </c>
      <c r="L2183">
        <f t="shared" si="68"/>
        <v>2022</v>
      </c>
      <c r="M2183" t="str">
        <f t="shared" si="69"/>
        <v>COVID Period</v>
      </c>
    </row>
    <row r="2184" spans="1:13" x14ac:dyDescent="0.25">
      <c r="A2184" s="2">
        <v>44641</v>
      </c>
      <c r="B2184" t="s">
        <v>44</v>
      </c>
      <c r="C2184">
        <v>1</v>
      </c>
      <c r="D2184" s="3">
        <v>4.87</v>
      </c>
      <c r="E2184" s="3">
        <v>4.87</v>
      </c>
      <c r="F2184">
        <v>3</v>
      </c>
      <c r="G2184">
        <v>2</v>
      </c>
      <c r="H2184" s="4">
        <v>1.2</v>
      </c>
      <c r="I2184" t="s">
        <v>46</v>
      </c>
      <c r="J2184" t="s">
        <v>33</v>
      </c>
      <c r="K2184" t="s">
        <v>47</v>
      </c>
      <c r="L2184">
        <f t="shared" si="68"/>
        <v>2022</v>
      </c>
      <c r="M2184" t="str">
        <f t="shared" si="69"/>
        <v>COVID Period</v>
      </c>
    </row>
    <row r="2185" spans="1:13" x14ac:dyDescent="0.25">
      <c r="A2185" s="2">
        <v>44641</v>
      </c>
      <c r="B2185" t="s">
        <v>45</v>
      </c>
      <c r="C2185">
        <v>0</v>
      </c>
      <c r="D2185" s="3">
        <v>15.62</v>
      </c>
      <c r="E2185" s="3">
        <v>0</v>
      </c>
      <c r="F2185">
        <v>3</v>
      </c>
      <c r="G2185">
        <v>3</v>
      </c>
      <c r="H2185" s="4">
        <v>1.6</v>
      </c>
      <c r="I2185" t="s">
        <v>46</v>
      </c>
      <c r="J2185" t="s">
        <v>33</v>
      </c>
      <c r="L2185">
        <f t="shared" si="68"/>
        <v>2022</v>
      </c>
      <c r="M2185" t="str">
        <f t="shared" si="69"/>
        <v>COVID Period</v>
      </c>
    </row>
    <row r="2186" spans="1:13" x14ac:dyDescent="0.25">
      <c r="A2186" s="2">
        <v>44648</v>
      </c>
      <c r="B2186" t="s">
        <v>32</v>
      </c>
      <c r="C2186">
        <v>20</v>
      </c>
      <c r="D2186" s="3">
        <v>7.06</v>
      </c>
      <c r="E2186" s="3">
        <v>141.19999999999999</v>
      </c>
      <c r="F2186">
        <v>28</v>
      </c>
      <c r="G2186">
        <v>9</v>
      </c>
      <c r="H2186" s="4">
        <v>2.1</v>
      </c>
      <c r="I2186" t="s">
        <v>33</v>
      </c>
      <c r="J2186" t="s">
        <v>33</v>
      </c>
      <c r="L2186">
        <f t="shared" si="68"/>
        <v>2022</v>
      </c>
      <c r="M2186" t="str">
        <f t="shared" si="69"/>
        <v>COVID Period</v>
      </c>
    </row>
    <row r="2187" spans="1:13" x14ac:dyDescent="0.25">
      <c r="A2187" s="2">
        <v>44648</v>
      </c>
      <c r="B2187" t="s">
        <v>34</v>
      </c>
      <c r="C2187">
        <v>19</v>
      </c>
      <c r="D2187" s="3">
        <v>6.99</v>
      </c>
      <c r="E2187" s="3">
        <v>132.81</v>
      </c>
      <c r="F2187">
        <v>24</v>
      </c>
      <c r="G2187">
        <v>6</v>
      </c>
      <c r="H2187" s="4">
        <v>1.6</v>
      </c>
      <c r="I2187" t="s">
        <v>33</v>
      </c>
      <c r="J2187" t="s">
        <v>33</v>
      </c>
      <c r="L2187">
        <f t="shared" si="68"/>
        <v>2022</v>
      </c>
      <c r="M2187" t="str">
        <f t="shared" si="69"/>
        <v>COVID Period</v>
      </c>
    </row>
    <row r="2188" spans="1:13" x14ac:dyDescent="0.25">
      <c r="A2188" s="2">
        <v>44648</v>
      </c>
      <c r="B2188" t="s">
        <v>35</v>
      </c>
      <c r="C2188">
        <v>11</v>
      </c>
      <c r="D2188" s="3">
        <v>6.19</v>
      </c>
      <c r="E2188" s="3">
        <v>68.09</v>
      </c>
      <c r="F2188">
        <v>13</v>
      </c>
      <c r="G2188">
        <v>3</v>
      </c>
      <c r="H2188" s="4">
        <v>2.5</v>
      </c>
      <c r="I2188" t="s">
        <v>33</v>
      </c>
      <c r="J2188" t="s">
        <v>33</v>
      </c>
      <c r="L2188">
        <f t="shared" si="68"/>
        <v>2022</v>
      </c>
      <c r="M2188" t="str">
        <f t="shared" si="69"/>
        <v>COVID Period</v>
      </c>
    </row>
    <row r="2189" spans="1:13" x14ac:dyDescent="0.25">
      <c r="A2189" s="2">
        <v>44648</v>
      </c>
      <c r="B2189" t="s">
        <v>36</v>
      </c>
      <c r="C2189">
        <v>8</v>
      </c>
      <c r="D2189" s="3">
        <v>6.02</v>
      </c>
      <c r="E2189" s="3">
        <v>48.16</v>
      </c>
      <c r="F2189">
        <v>9</v>
      </c>
      <c r="G2189">
        <v>1</v>
      </c>
      <c r="H2189" s="4">
        <v>0</v>
      </c>
      <c r="I2189" t="s">
        <v>33</v>
      </c>
      <c r="J2189" t="s">
        <v>33</v>
      </c>
      <c r="L2189">
        <f t="shared" si="68"/>
        <v>2022</v>
      </c>
      <c r="M2189" t="str">
        <f t="shared" si="69"/>
        <v>COVID Period</v>
      </c>
    </row>
    <row r="2190" spans="1:13" x14ac:dyDescent="0.25">
      <c r="A2190" s="2">
        <v>44648</v>
      </c>
      <c r="B2190" t="s">
        <v>37</v>
      </c>
      <c r="C2190">
        <v>22</v>
      </c>
      <c r="D2190" s="3">
        <v>3.18</v>
      </c>
      <c r="E2190" s="3">
        <v>69.959999999999994</v>
      </c>
      <c r="F2190">
        <v>23</v>
      </c>
      <c r="G2190">
        <v>4</v>
      </c>
      <c r="H2190" s="4">
        <v>1.9</v>
      </c>
      <c r="I2190" t="s">
        <v>33</v>
      </c>
      <c r="J2190" t="s">
        <v>33</v>
      </c>
      <c r="L2190">
        <f t="shared" si="68"/>
        <v>2022</v>
      </c>
      <c r="M2190" t="str">
        <f t="shared" si="69"/>
        <v>COVID Period</v>
      </c>
    </row>
    <row r="2191" spans="1:13" x14ac:dyDescent="0.25">
      <c r="A2191" s="2">
        <v>44648</v>
      </c>
      <c r="B2191" t="s">
        <v>38</v>
      </c>
      <c r="C2191">
        <v>16</v>
      </c>
      <c r="D2191" s="3">
        <v>8.65</v>
      </c>
      <c r="E2191" s="3">
        <v>138.4</v>
      </c>
      <c r="F2191">
        <v>21</v>
      </c>
      <c r="G2191">
        <v>5</v>
      </c>
      <c r="H2191" s="4">
        <v>0.7</v>
      </c>
      <c r="I2191" t="s">
        <v>33</v>
      </c>
      <c r="J2191" t="s">
        <v>33</v>
      </c>
      <c r="L2191">
        <f t="shared" si="68"/>
        <v>2022</v>
      </c>
      <c r="M2191" t="str">
        <f t="shared" si="69"/>
        <v>COVID Period</v>
      </c>
    </row>
    <row r="2192" spans="1:13" x14ac:dyDescent="0.25">
      <c r="A2192" s="2">
        <v>44648</v>
      </c>
      <c r="B2192" t="s">
        <v>39</v>
      </c>
      <c r="C2192">
        <v>28</v>
      </c>
      <c r="D2192" s="3">
        <v>12.04</v>
      </c>
      <c r="E2192" s="3">
        <v>337.12</v>
      </c>
      <c r="F2192">
        <v>31</v>
      </c>
      <c r="G2192">
        <v>7</v>
      </c>
      <c r="H2192" s="4">
        <v>2.6</v>
      </c>
      <c r="I2192" t="s">
        <v>33</v>
      </c>
      <c r="J2192" t="s">
        <v>33</v>
      </c>
      <c r="L2192">
        <f t="shared" si="68"/>
        <v>2022</v>
      </c>
      <c r="M2192" t="str">
        <f t="shared" si="69"/>
        <v>COVID Period</v>
      </c>
    </row>
    <row r="2193" spans="1:13" x14ac:dyDescent="0.25">
      <c r="A2193" s="2">
        <v>44648</v>
      </c>
      <c r="B2193" t="s">
        <v>40</v>
      </c>
      <c r="C2193">
        <v>22</v>
      </c>
      <c r="D2193" s="3">
        <v>0.63</v>
      </c>
      <c r="E2193" s="3">
        <v>13.86</v>
      </c>
      <c r="F2193">
        <v>24</v>
      </c>
      <c r="G2193">
        <v>5</v>
      </c>
      <c r="H2193" s="4">
        <v>2.1</v>
      </c>
      <c r="I2193" t="s">
        <v>46</v>
      </c>
      <c r="J2193" t="s">
        <v>33</v>
      </c>
      <c r="K2193" t="s">
        <v>47</v>
      </c>
      <c r="L2193">
        <f t="shared" si="68"/>
        <v>2022</v>
      </c>
      <c r="M2193" t="str">
        <f t="shared" si="69"/>
        <v>COVID Period</v>
      </c>
    </row>
    <row r="2194" spans="1:13" x14ac:dyDescent="0.25">
      <c r="A2194" s="2">
        <v>44648</v>
      </c>
      <c r="B2194" t="s">
        <v>41</v>
      </c>
      <c r="C2194">
        <v>24</v>
      </c>
      <c r="D2194" s="3">
        <v>1.34</v>
      </c>
      <c r="E2194" s="3">
        <v>32.159999999999997</v>
      </c>
      <c r="F2194">
        <v>29</v>
      </c>
      <c r="G2194">
        <v>7</v>
      </c>
      <c r="H2194" s="4">
        <v>4.9000000000000004</v>
      </c>
      <c r="I2194" t="s">
        <v>46</v>
      </c>
      <c r="J2194" t="s">
        <v>33</v>
      </c>
      <c r="K2194" t="s">
        <v>47</v>
      </c>
      <c r="L2194">
        <f t="shared" si="68"/>
        <v>2022</v>
      </c>
      <c r="M2194" t="str">
        <f t="shared" si="69"/>
        <v>COVID Period</v>
      </c>
    </row>
    <row r="2195" spans="1:13" x14ac:dyDescent="0.25">
      <c r="A2195" s="2">
        <v>44648</v>
      </c>
      <c r="B2195" t="s">
        <v>42</v>
      </c>
      <c r="C2195">
        <v>23</v>
      </c>
      <c r="D2195" s="3">
        <v>4.29</v>
      </c>
      <c r="E2195" s="3">
        <v>98.67</v>
      </c>
      <c r="F2195">
        <v>33</v>
      </c>
      <c r="G2195">
        <v>15</v>
      </c>
      <c r="H2195" s="4">
        <v>4.5</v>
      </c>
      <c r="I2195" t="s">
        <v>46</v>
      </c>
      <c r="J2195" t="s">
        <v>33</v>
      </c>
      <c r="K2195" t="s">
        <v>47</v>
      </c>
      <c r="L2195">
        <f t="shared" si="68"/>
        <v>2022</v>
      </c>
      <c r="M2195" t="str">
        <f t="shared" si="69"/>
        <v>COVID Period</v>
      </c>
    </row>
    <row r="2196" spans="1:13" x14ac:dyDescent="0.25">
      <c r="A2196" s="2">
        <v>44648</v>
      </c>
      <c r="B2196" t="s">
        <v>43</v>
      </c>
      <c r="C2196">
        <v>17</v>
      </c>
      <c r="D2196" s="3">
        <v>5.63</v>
      </c>
      <c r="E2196" s="3">
        <v>95.71</v>
      </c>
      <c r="F2196">
        <v>26</v>
      </c>
      <c r="G2196">
        <v>12</v>
      </c>
      <c r="H2196" s="4">
        <v>3.3</v>
      </c>
      <c r="I2196" t="s">
        <v>46</v>
      </c>
      <c r="J2196" t="s">
        <v>33</v>
      </c>
      <c r="L2196">
        <f t="shared" si="68"/>
        <v>2022</v>
      </c>
      <c r="M2196" t="str">
        <f t="shared" si="69"/>
        <v>COVID Period</v>
      </c>
    </row>
    <row r="2197" spans="1:13" x14ac:dyDescent="0.25">
      <c r="A2197" s="2">
        <v>44648</v>
      </c>
      <c r="B2197" t="s">
        <v>44</v>
      </c>
      <c r="C2197">
        <v>0</v>
      </c>
      <c r="D2197" s="3">
        <v>4.95</v>
      </c>
      <c r="E2197" s="3">
        <v>0</v>
      </c>
      <c r="F2197">
        <v>3</v>
      </c>
      <c r="G2197">
        <v>3</v>
      </c>
      <c r="H2197" s="4">
        <v>2.5</v>
      </c>
      <c r="I2197" t="s">
        <v>46</v>
      </c>
      <c r="J2197" t="s">
        <v>33</v>
      </c>
      <c r="K2197" t="s">
        <v>47</v>
      </c>
      <c r="L2197">
        <f t="shared" si="68"/>
        <v>2022</v>
      </c>
      <c r="M2197" t="str">
        <f t="shared" si="69"/>
        <v>COVID Period</v>
      </c>
    </row>
    <row r="2198" spans="1:13" x14ac:dyDescent="0.25">
      <c r="A2198" s="2">
        <v>44648</v>
      </c>
      <c r="B2198" t="s">
        <v>45</v>
      </c>
      <c r="C2198">
        <v>2</v>
      </c>
      <c r="D2198" s="3">
        <v>14.79</v>
      </c>
      <c r="E2198" s="3">
        <v>29.58</v>
      </c>
      <c r="F2198">
        <v>3</v>
      </c>
      <c r="G2198">
        <v>2</v>
      </c>
      <c r="H2198" s="4">
        <v>1.4</v>
      </c>
      <c r="I2198" t="s">
        <v>46</v>
      </c>
      <c r="J2198" t="s">
        <v>33</v>
      </c>
      <c r="L2198">
        <f t="shared" si="68"/>
        <v>2022</v>
      </c>
      <c r="M2198" t="str">
        <f t="shared" si="69"/>
        <v>COVID Period</v>
      </c>
    </row>
    <row r="2199" spans="1:13" x14ac:dyDescent="0.25">
      <c r="A2199" s="2">
        <v>44655</v>
      </c>
      <c r="B2199" t="s">
        <v>32</v>
      </c>
      <c r="C2199">
        <v>16</v>
      </c>
      <c r="D2199" s="3">
        <v>6.64</v>
      </c>
      <c r="E2199" s="3">
        <v>106.24</v>
      </c>
      <c r="F2199">
        <v>21</v>
      </c>
      <c r="G2199">
        <v>7</v>
      </c>
      <c r="H2199" s="4">
        <v>1.9</v>
      </c>
      <c r="I2199" t="s">
        <v>33</v>
      </c>
      <c r="J2199" t="s">
        <v>33</v>
      </c>
      <c r="L2199">
        <f t="shared" si="68"/>
        <v>2022</v>
      </c>
      <c r="M2199" t="str">
        <f t="shared" si="69"/>
        <v>COVID Period</v>
      </c>
    </row>
    <row r="2200" spans="1:13" x14ac:dyDescent="0.25">
      <c r="A2200" s="2">
        <v>44655</v>
      </c>
      <c r="B2200" t="s">
        <v>34</v>
      </c>
      <c r="C2200">
        <v>12</v>
      </c>
      <c r="D2200" s="3">
        <v>6.97</v>
      </c>
      <c r="E2200" s="3">
        <v>83.64</v>
      </c>
      <c r="F2200">
        <v>16</v>
      </c>
      <c r="G2200">
        <v>6</v>
      </c>
      <c r="H2200" s="4">
        <v>2.2000000000000002</v>
      </c>
      <c r="I2200" t="s">
        <v>33</v>
      </c>
      <c r="J2200" t="s">
        <v>33</v>
      </c>
      <c r="L2200">
        <f t="shared" si="68"/>
        <v>2022</v>
      </c>
      <c r="M2200" t="str">
        <f t="shared" si="69"/>
        <v>COVID Period</v>
      </c>
    </row>
    <row r="2201" spans="1:13" x14ac:dyDescent="0.25">
      <c r="A2201" s="2">
        <v>44655</v>
      </c>
      <c r="B2201" t="s">
        <v>35</v>
      </c>
      <c r="C2201">
        <v>9</v>
      </c>
      <c r="D2201" s="3">
        <v>5.97</v>
      </c>
      <c r="E2201" s="3">
        <v>53.73</v>
      </c>
      <c r="F2201">
        <v>11</v>
      </c>
      <c r="G2201">
        <v>3</v>
      </c>
      <c r="H2201" s="4">
        <v>1.7</v>
      </c>
      <c r="I2201" t="s">
        <v>33</v>
      </c>
      <c r="J2201" t="s">
        <v>33</v>
      </c>
      <c r="L2201">
        <f t="shared" si="68"/>
        <v>2022</v>
      </c>
      <c r="M2201" t="str">
        <f t="shared" si="69"/>
        <v>COVID Period</v>
      </c>
    </row>
    <row r="2202" spans="1:13" x14ac:dyDescent="0.25">
      <c r="A2202" s="2">
        <v>44655</v>
      </c>
      <c r="B2202" t="s">
        <v>36</v>
      </c>
      <c r="C2202">
        <v>8</v>
      </c>
      <c r="D2202" s="3">
        <v>6.43</v>
      </c>
      <c r="E2202" s="3">
        <v>51.44</v>
      </c>
      <c r="F2202">
        <v>13</v>
      </c>
      <c r="G2202">
        <v>6</v>
      </c>
      <c r="H2202" s="4">
        <v>2</v>
      </c>
      <c r="I2202" t="s">
        <v>33</v>
      </c>
      <c r="J2202" t="s">
        <v>33</v>
      </c>
      <c r="L2202">
        <f t="shared" si="68"/>
        <v>2022</v>
      </c>
      <c r="M2202" t="str">
        <f t="shared" si="69"/>
        <v>COVID Period</v>
      </c>
    </row>
    <row r="2203" spans="1:13" x14ac:dyDescent="0.25">
      <c r="A2203" s="2">
        <v>44655</v>
      </c>
      <c r="B2203" t="s">
        <v>37</v>
      </c>
      <c r="C2203">
        <v>29</v>
      </c>
      <c r="D2203" s="3">
        <v>3.08</v>
      </c>
      <c r="E2203" s="3">
        <v>89.32</v>
      </c>
      <c r="F2203">
        <v>48</v>
      </c>
      <c r="G2203">
        <v>20</v>
      </c>
      <c r="H2203" s="4">
        <v>0.9</v>
      </c>
      <c r="I2203" t="s">
        <v>33</v>
      </c>
      <c r="J2203" t="s">
        <v>33</v>
      </c>
      <c r="L2203">
        <f t="shared" si="68"/>
        <v>2022</v>
      </c>
      <c r="M2203" t="str">
        <f t="shared" si="69"/>
        <v>COVID Period</v>
      </c>
    </row>
    <row r="2204" spans="1:13" x14ac:dyDescent="0.25">
      <c r="A2204" s="2">
        <v>44655</v>
      </c>
      <c r="B2204" t="s">
        <v>38</v>
      </c>
      <c r="C2204">
        <v>10</v>
      </c>
      <c r="D2204" s="3">
        <v>8.64</v>
      </c>
      <c r="E2204" s="3">
        <v>86.4</v>
      </c>
      <c r="F2204">
        <v>11</v>
      </c>
      <c r="G2204">
        <v>2</v>
      </c>
      <c r="H2204" s="4">
        <v>1.2</v>
      </c>
      <c r="I2204" t="s">
        <v>33</v>
      </c>
      <c r="J2204" t="s">
        <v>33</v>
      </c>
      <c r="L2204">
        <f t="shared" si="68"/>
        <v>2022</v>
      </c>
      <c r="M2204" t="str">
        <f t="shared" si="69"/>
        <v>COVID Period</v>
      </c>
    </row>
    <row r="2205" spans="1:13" x14ac:dyDescent="0.25">
      <c r="A2205" s="2">
        <v>44655</v>
      </c>
      <c r="B2205" t="s">
        <v>39</v>
      </c>
      <c r="C2205">
        <v>23</v>
      </c>
      <c r="D2205" s="3">
        <v>11.7</v>
      </c>
      <c r="E2205" s="3">
        <v>269.10000000000002</v>
      </c>
      <c r="F2205">
        <v>36</v>
      </c>
      <c r="G2205">
        <v>16</v>
      </c>
      <c r="H2205" s="4">
        <v>2.4</v>
      </c>
      <c r="I2205" t="s">
        <v>33</v>
      </c>
      <c r="J2205" t="s">
        <v>33</v>
      </c>
      <c r="L2205">
        <f t="shared" si="68"/>
        <v>2022</v>
      </c>
      <c r="M2205" t="str">
        <f t="shared" si="69"/>
        <v>COVID Period</v>
      </c>
    </row>
    <row r="2206" spans="1:13" x14ac:dyDescent="0.25">
      <c r="A2206" s="2">
        <v>44655</v>
      </c>
      <c r="B2206" t="s">
        <v>40</v>
      </c>
      <c r="C2206">
        <v>31</v>
      </c>
      <c r="D2206" s="3">
        <v>0.66</v>
      </c>
      <c r="E2206" s="3">
        <v>20.46</v>
      </c>
      <c r="F2206">
        <v>43</v>
      </c>
      <c r="G2206">
        <v>17</v>
      </c>
      <c r="H2206" s="4">
        <v>3.5</v>
      </c>
      <c r="I2206" t="s">
        <v>46</v>
      </c>
      <c r="J2206" t="s">
        <v>33</v>
      </c>
      <c r="K2206" t="s">
        <v>47</v>
      </c>
      <c r="L2206">
        <f t="shared" si="68"/>
        <v>2022</v>
      </c>
      <c r="M2206" t="str">
        <f t="shared" si="69"/>
        <v>COVID Period</v>
      </c>
    </row>
    <row r="2207" spans="1:13" x14ac:dyDescent="0.25">
      <c r="A2207" s="2">
        <v>44655</v>
      </c>
      <c r="B2207" t="s">
        <v>41</v>
      </c>
      <c r="C2207">
        <v>13</v>
      </c>
      <c r="D2207" s="3">
        <v>1.32</v>
      </c>
      <c r="E2207" s="3">
        <v>17.16</v>
      </c>
      <c r="F2207">
        <v>14</v>
      </c>
      <c r="G2207">
        <v>3</v>
      </c>
      <c r="H2207" s="4">
        <v>1.7</v>
      </c>
      <c r="I2207" t="s">
        <v>46</v>
      </c>
      <c r="J2207" t="s">
        <v>33</v>
      </c>
      <c r="K2207" t="s">
        <v>47</v>
      </c>
      <c r="L2207">
        <f t="shared" si="68"/>
        <v>2022</v>
      </c>
      <c r="M2207" t="str">
        <f t="shared" si="69"/>
        <v>COVID Period</v>
      </c>
    </row>
    <row r="2208" spans="1:13" x14ac:dyDescent="0.25">
      <c r="A2208" s="2">
        <v>44655</v>
      </c>
      <c r="B2208" t="s">
        <v>42</v>
      </c>
      <c r="C2208">
        <v>27</v>
      </c>
      <c r="D2208" s="3">
        <v>4.0999999999999996</v>
      </c>
      <c r="E2208" s="3">
        <v>110.7</v>
      </c>
      <c r="F2208">
        <v>30</v>
      </c>
      <c r="G2208">
        <v>6</v>
      </c>
      <c r="H2208" s="4">
        <v>2.6</v>
      </c>
      <c r="I2208" t="s">
        <v>46</v>
      </c>
      <c r="J2208" t="s">
        <v>33</v>
      </c>
      <c r="K2208" t="s">
        <v>47</v>
      </c>
      <c r="L2208">
        <f t="shared" si="68"/>
        <v>2022</v>
      </c>
      <c r="M2208" t="str">
        <f t="shared" si="69"/>
        <v>COVID Period</v>
      </c>
    </row>
    <row r="2209" spans="1:13" x14ac:dyDescent="0.25">
      <c r="A2209" s="2">
        <v>44655</v>
      </c>
      <c r="B2209" t="s">
        <v>43</v>
      </c>
      <c r="C2209">
        <v>4</v>
      </c>
      <c r="D2209" s="3">
        <v>5.3</v>
      </c>
      <c r="E2209" s="3">
        <v>21.2</v>
      </c>
      <c r="F2209">
        <v>5</v>
      </c>
      <c r="G2209">
        <v>1</v>
      </c>
      <c r="H2209" s="4">
        <v>4.2</v>
      </c>
      <c r="I2209" t="s">
        <v>46</v>
      </c>
      <c r="J2209" t="s">
        <v>33</v>
      </c>
      <c r="L2209">
        <f t="shared" si="68"/>
        <v>2022</v>
      </c>
      <c r="M2209" t="str">
        <f t="shared" si="69"/>
        <v>COVID Period</v>
      </c>
    </row>
    <row r="2210" spans="1:13" x14ac:dyDescent="0.25">
      <c r="A2210" s="2">
        <v>44655</v>
      </c>
      <c r="B2210" t="s">
        <v>44</v>
      </c>
      <c r="C2210">
        <v>1</v>
      </c>
      <c r="D2210" s="3">
        <v>4.62</v>
      </c>
      <c r="E2210" s="3">
        <v>4.62</v>
      </c>
      <c r="F2210">
        <v>3</v>
      </c>
      <c r="G2210">
        <v>2</v>
      </c>
      <c r="H2210" s="4">
        <v>2.1</v>
      </c>
      <c r="I2210" t="s">
        <v>46</v>
      </c>
      <c r="J2210" t="s">
        <v>46</v>
      </c>
      <c r="K2210" t="s">
        <v>47</v>
      </c>
      <c r="L2210">
        <f t="shared" si="68"/>
        <v>2022</v>
      </c>
      <c r="M2210" t="str">
        <f t="shared" si="69"/>
        <v>COVID Period</v>
      </c>
    </row>
    <row r="2211" spans="1:13" x14ac:dyDescent="0.25">
      <c r="A2211" s="2">
        <v>44655</v>
      </c>
      <c r="B2211" t="s">
        <v>45</v>
      </c>
      <c r="C2211">
        <v>0</v>
      </c>
      <c r="D2211" s="3">
        <v>14.65</v>
      </c>
      <c r="E2211" s="3">
        <v>0</v>
      </c>
      <c r="F2211">
        <v>3</v>
      </c>
      <c r="G2211">
        <v>3</v>
      </c>
      <c r="H2211" s="4">
        <v>2.6</v>
      </c>
      <c r="I2211" t="s">
        <v>33</v>
      </c>
      <c r="J2211" t="s">
        <v>33</v>
      </c>
      <c r="L2211">
        <f t="shared" si="68"/>
        <v>2022</v>
      </c>
      <c r="M2211" t="str">
        <f t="shared" si="69"/>
        <v>COVID Period</v>
      </c>
    </row>
    <row r="2212" spans="1:13" x14ac:dyDescent="0.25">
      <c r="A2212" s="2">
        <v>44662</v>
      </c>
      <c r="B2212" t="s">
        <v>32</v>
      </c>
      <c r="C2212">
        <v>16</v>
      </c>
      <c r="D2212" s="3">
        <v>6.99</v>
      </c>
      <c r="E2212" s="3">
        <v>111.84</v>
      </c>
      <c r="F2212">
        <v>21</v>
      </c>
      <c r="G2212">
        <v>7</v>
      </c>
      <c r="H2212" s="4">
        <v>2.2000000000000002</v>
      </c>
      <c r="I2212" t="s">
        <v>33</v>
      </c>
      <c r="J2212" t="s">
        <v>33</v>
      </c>
      <c r="L2212">
        <f t="shared" si="68"/>
        <v>2022</v>
      </c>
      <c r="M2212" t="str">
        <f t="shared" si="69"/>
        <v>COVID Period</v>
      </c>
    </row>
    <row r="2213" spans="1:13" x14ac:dyDescent="0.25">
      <c r="A2213" s="2">
        <v>44662</v>
      </c>
      <c r="B2213" t="s">
        <v>34</v>
      </c>
      <c r="C2213">
        <v>15</v>
      </c>
      <c r="D2213" s="3">
        <v>6.85</v>
      </c>
      <c r="E2213" s="3">
        <v>102.75</v>
      </c>
      <c r="F2213">
        <v>16</v>
      </c>
      <c r="G2213">
        <v>4</v>
      </c>
      <c r="H2213" s="4">
        <v>1.2</v>
      </c>
      <c r="I2213" t="s">
        <v>33</v>
      </c>
      <c r="J2213" t="s">
        <v>33</v>
      </c>
      <c r="L2213">
        <f t="shared" si="68"/>
        <v>2022</v>
      </c>
      <c r="M2213" t="str">
        <f t="shared" si="69"/>
        <v>COVID Period</v>
      </c>
    </row>
    <row r="2214" spans="1:13" x14ac:dyDescent="0.25">
      <c r="A2214" s="2">
        <v>44662</v>
      </c>
      <c r="B2214" t="s">
        <v>35</v>
      </c>
      <c r="C2214">
        <v>10</v>
      </c>
      <c r="D2214" s="3">
        <v>6.14</v>
      </c>
      <c r="E2214" s="3">
        <v>61.4</v>
      </c>
      <c r="F2214">
        <v>11</v>
      </c>
      <c r="G2214">
        <v>2</v>
      </c>
      <c r="H2214" s="4">
        <v>2.2999999999999998</v>
      </c>
      <c r="I2214" t="s">
        <v>33</v>
      </c>
      <c r="J2214" t="s">
        <v>33</v>
      </c>
      <c r="L2214">
        <f t="shared" si="68"/>
        <v>2022</v>
      </c>
      <c r="M2214" t="str">
        <f t="shared" si="69"/>
        <v>COVID Period</v>
      </c>
    </row>
    <row r="2215" spans="1:13" x14ac:dyDescent="0.25">
      <c r="A2215" s="2">
        <v>44662</v>
      </c>
      <c r="B2215" t="s">
        <v>36</v>
      </c>
      <c r="C2215">
        <v>6</v>
      </c>
      <c r="D2215" s="3">
        <v>6.18</v>
      </c>
      <c r="E2215" s="3">
        <v>37.08</v>
      </c>
      <c r="F2215">
        <v>6</v>
      </c>
      <c r="G2215">
        <v>1</v>
      </c>
      <c r="H2215" s="4">
        <v>1</v>
      </c>
      <c r="I2215" t="s">
        <v>33</v>
      </c>
      <c r="J2215" t="s">
        <v>33</v>
      </c>
      <c r="L2215">
        <f t="shared" si="68"/>
        <v>2022</v>
      </c>
      <c r="M2215" t="str">
        <f t="shared" si="69"/>
        <v>COVID Period</v>
      </c>
    </row>
    <row r="2216" spans="1:13" x14ac:dyDescent="0.25">
      <c r="A2216" s="2">
        <v>44662</v>
      </c>
      <c r="B2216" t="s">
        <v>37</v>
      </c>
      <c r="C2216">
        <v>20</v>
      </c>
      <c r="D2216" s="3">
        <v>3.29</v>
      </c>
      <c r="E2216" s="3">
        <v>65.8</v>
      </c>
      <c r="F2216">
        <v>25</v>
      </c>
      <c r="G2216">
        <v>7</v>
      </c>
      <c r="H2216" s="4">
        <v>1.7</v>
      </c>
      <c r="I2216" t="s">
        <v>33</v>
      </c>
      <c r="J2216" t="s">
        <v>33</v>
      </c>
      <c r="L2216">
        <f t="shared" si="68"/>
        <v>2022</v>
      </c>
      <c r="M2216" t="str">
        <f t="shared" si="69"/>
        <v>COVID Period</v>
      </c>
    </row>
    <row r="2217" spans="1:13" x14ac:dyDescent="0.25">
      <c r="A2217" s="2">
        <v>44662</v>
      </c>
      <c r="B2217" t="s">
        <v>38</v>
      </c>
      <c r="C2217">
        <v>12</v>
      </c>
      <c r="D2217" s="3">
        <v>8.42</v>
      </c>
      <c r="E2217" s="3">
        <v>101.04</v>
      </c>
      <c r="F2217">
        <v>14</v>
      </c>
      <c r="G2217">
        <v>3</v>
      </c>
      <c r="H2217" s="4">
        <v>2.5</v>
      </c>
      <c r="I2217" t="s">
        <v>33</v>
      </c>
      <c r="J2217" t="s">
        <v>33</v>
      </c>
      <c r="L2217">
        <f t="shared" si="68"/>
        <v>2022</v>
      </c>
      <c r="M2217" t="str">
        <f t="shared" si="69"/>
        <v>COVID Period</v>
      </c>
    </row>
    <row r="2218" spans="1:13" x14ac:dyDescent="0.25">
      <c r="A2218" s="2">
        <v>44662</v>
      </c>
      <c r="B2218" t="s">
        <v>39</v>
      </c>
      <c r="C2218">
        <v>14</v>
      </c>
      <c r="D2218" s="3">
        <v>11.93</v>
      </c>
      <c r="E2218" s="3">
        <v>167.02</v>
      </c>
      <c r="F2218">
        <v>21</v>
      </c>
      <c r="G2218">
        <v>8</v>
      </c>
      <c r="H2218" s="4">
        <v>2.9</v>
      </c>
      <c r="I2218" t="s">
        <v>33</v>
      </c>
      <c r="J2218" t="s">
        <v>33</v>
      </c>
      <c r="L2218">
        <f t="shared" si="68"/>
        <v>2022</v>
      </c>
      <c r="M2218" t="str">
        <f t="shared" si="69"/>
        <v>COVID Period</v>
      </c>
    </row>
    <row r="2219" spans="1:13" x14ac:dyDescent="0.25">
      <c r="A2219" s="2">
        <v>44662</v>
      </c>
      <c r="B2219" t="s">
        <v>40</v>
      </c>
      <c r="C2219">
        <v>23</v>
      </c>
      <c r="D2219" s="3">
        <v>0.65</v>
      </c>
      <c r="E2219" s="3">
        <v>14.95</v>
      </c>
      <c r="F2219">
        <v>24</v>
      </c>
      <c r="G2219">
        <v>3</v>
      </c>
      <c r="H2219" s="4">
        <v>0</v>
      </c>
      <c r="I2219" t="s">
        <v>46</v>
      </c>
      <c r="J2219" t="s">
        <v>33</v>
      </c>
      <c r="K2219" t="s">
        <v>47</v>
      </c>
      <c r="L2219">
        <f t="shared" si="68"/>
        <v>2022</v>
      </c>
      <c r="M2219" t="str">
        <f t="shared" si="69"/>
        <v>COVID Period</v>
      </c>
    </row>
    <row r="2220" spans="1:13" x14ac:dyDescent="0.25">
      <c r="A2220" s="2">
        <v>44662</v>
      </c>
      <c r="B2220" t="s">
        <v>41</v>
      </c>
      <c r="C2220">
        <v>16</v>
      </c>
      <c r="D2220" s="3">
        <v>1.39</v>
      </c>
      <c r="E2220" s="3">
        <v>22.24</v>
      </c>
      <c r="F2220">
        <v>24</v>
      </c>
      <c r="G2220">
        <v>10</v>
      </c>
      <c r="H2220" s="4">
        <v>2.4</v>
      </c>
      <c r="I2220" t="s">
        <v>46</v>
      </c>
      <c r="J2220" t="s">
        <v>33</v>
      </c>
      <c r="K2220" t="s">
        <v>47</v>
      </c>
      <c r="L2220">
        <f t="shared" si="68"/>
        <v>2022</v>
      </c>
      <c r="M2220" t="str">
        <f t="shared" si="69"/>
        <v>COVID Period</v>
      </c>
    </row>
    <row r="2221" spans="1:13" x14ac:dyDescent="0.25">
      <c r="A2221" s="2">
        <v>44662</v>
      </c>
      <c r="B2221" t="s">
        <v>42</v>
      </c>
      <c r="C2221">
        <v>17</v>
      </c>
      <c r="D2221" s="3">
        <v>4.3</v>
      </c>
      <c r="E2221" s="3">
        <v>73.099999999999994</v>
      </c>
      <c r="F2221">
        <v>25</v>
      </c>
      <c r="G2221">
        <v>12</v>
      </c>
      <c r="H2221" s="4">
        <v>3.6</v>
      </c>
      <c r="I2221" t="s">
        <v>46</v>
      </c>
      <c r="J2221" t="s">
        <v>33</v>
      </c>
      <c r="K2221" t="s">
        <v>47</v>
      </c>
      <c r="L2221">
        <f t="shared" si="68"/>
        <v>2022</v>
      </c>
      <c r="M2221" t="str">
        <f t="shared" si="69"/>
        <v>COVID Period</v>
      </c>
    </row>
    <row r="2222" spans="1:13" x14ac:dyDescent="0.25">
      <c r="A2222" s="2">
        <v>44662</v>
      </c>
      <c r="B2222" t="s">
        <v>43</v>
      </c>
      <c r="C2222">
        <v>12</v>
      </c>
      <c r="D2222" s="3">
        <v>5.72</v>
      </c>
      <c r="E2222" s="3">
        <v>68.64</v>
      </c>
      <c r="F2222">
        <v>16</v>
      </c>
      <c r="G2222">
        <v>6</v>
      </c>
      <c r="H2222" s="4">
        <v>4.5</v>
      </c>
      <c r="I2222" t="s">
        <v>46</v>
      </c>
      <c r="J2222" t="s">
        <v>33</v>
      </c>
      <c r="L2222">
        <f t="shared" si="68"/>
        <v>2022</v>
      </c>
      <c r="M2222" t="str">
        <f t="shared" si="69"/>
        <v>COVID Period</v>
      </c>
    </row>
    <row r="2223" spans="1:13" x14ac:dyDescent="0.25">
      <c r="A2223" s="2">
        <v>44662</v>
      </c>
      <c r="B2223" t="s">
        <v>44</v>
      </c>
      <c r="C2223">
        <v>0</v>
      </c>
      <c r="D2223" s="3">
        <v>4.8099999999999996</v>
      </c>
      <c r="E2223" s="3">
        <v>0</v>
      </c>
      <c r="F2223">
        <v>3</v>
      </c>
      <c r="G2223">
        <v>3</v>
      </c>
      <c r="H2223" s="4">
        <v>2.1</v>
      </c>
      <c r="I2223" t="s">
        <v>46</v>
      </c>
      <c r="J2223" t="s">
        <v>33</v>
      </c>
      <c r="K2223" t="s">
        <v>47</v>
      </c>
      <c r="L2223">
        <f t="shared" si="68"/>
        <v>2022</v>
      </c>
      <c r="M2223" t="str">
        <f t="shared" si="69"/>
        <v>COVID Period</v>
      </c>
    </row>
    <row r="2224" spans="1:13" x14ac:dyDescent="0.25">
      <c r="A2224" s="2">
        <v>44662</v>
      </c>
      <c r="B2224" t="s">
        <v>45</v>
      </c>
      <c r="C2224">
        <v>0</v>
      </c>
      <c r="D2224" s="3">
        <v>15.75</v>
      </c>
      <c r="E2224" s="3">
        <v>0</v>
      </c>
      <c r="F2224">
        <v>3</v>
      </c>
      <c r="G2224">
        <v>3</v>
      </c>
      <c r="H2224" s="4">
        <v>3.1</v>
      </c>
      <c r="I2224" t="s">
        <v>33</v>
      </c>
      <c r="J2224" t="s">
        <v>33</v>
      </c>
      <c r="L2224">
        <f t="shared" si="68"/>
        <v>2022</v>
      </c>
      <c r="M2224" t="str">
        <f t="shared" si="69"/>
        <v>COVID Period</v>
      </c>
    </row>
    <row r="2225" spans="1:13" x14ac:dyDescent="0.25">
      <c r="A2225" s="2">
        <v>44669</v>
      </c>
      <c r="B2225" t="s">
        <v>32</v>
      </c>
      <c r="C2225">
        <v>13</v>
      </c>
      <c r="D2225" s="3">
        <v>6.65</v>
      </c>
      <c r="E2225" s="3">
        <v>86.45</v>
      </c>
      <c r="F2225">
        <v>19</v>
      </c>
      <c r="G2225">
        <v>9</v>
      </c>
      <c r="H2225" s="4">
        <v>2.6</v>
      </c>
      <c r="I2225" t="s">
        <v>33</v>
      </c>
      <c r="J2225" t="s">
        <v>33</v>
      </c>
      <c r="L2225">
        <f t="shared" si="68"/>
        <v>2022</v>
      </c>
      <c r="M2225" t="str">
        <f t="shared" si="69"/>
        <v>COVID Period</v>
      </c>
    </row>
    <row r="2226" spans="1:13" x14ac:dyDescent="0.25">
      <c r="A2226" s="2">
        <v>44669</v>
      </c>
      <c r="B2226" t="s">
        <v>34</v>
      </c>
      <c r="C2226">
        <v>16</v>
      </c>
      <c r="D2226" s="3">
        <v>7.38</v>
      </c>
      <c r="E2226" s="3">
        <v>118.08</v>
      </c>
      <c r="F2226">
        <v>21</v>
      </c>
      <c r="G2226">
        <v>5</v>
      </c>
      <c r="H2226" s="4">
        <v>0</v>
      </c>
      <c r="I2226" t="s">
        <v>33</v>
      </c>
      <c r="J2226" t="s">
        <v>33</v>
      </c>
      <c r="L2226">
        <f t="shared" si="68"/>
        <v>2022</v>
      </c>
      <c r="M2226" t="str">
        <f t="shared" si="69"/>
        <v>COVID Period</v>
      </c>
    </row>
    <row r="2227" spans="1:13" x14ac:dyDescent="0.25">
      <c r="A2227" s="2">
        <v>44669</v>
      </c>
      <c r="B2227" t="s">
        <v>35</v>
      </c>
      <c r="C2227">
        <v>6</v>
      </c>
      <c r="D2227" s="3">
        <v>5.67</v>
      </c>
      <c r="E2227" s="3">
        <v>34.020000000000003</v>
      </c>
      <c r="F2227">
        <v>8</v>
      </c>
      <c r="G2227">
        <v>2</v>
      </c>
      <c r="H2227" s="4">
        <v>2.6</v>
      </c>
      <c r="I2227" t="s">
        <v>33</v>
      </c>
      <c r="J2227" t="s">
        <v>33</v>
      </c>
      <c r="L2227">
        <f t="shared" si="68"/>
        <v>2022</v>
      </c>
      <c r="M2227" t="str">
        <f t="shared" si="69"/>
        <v>COVID Period</v>
      </c>
    </row>
    <row r="2228" spans="1:13" x14ac:dyDescent="0.25">
      <c r="A2228" s="2">
        <v>44669</v>
      </c>
      <c r="B2228" t="s">
        <v>36</v>
      </c>
      <c r="C2228">
        <v>7</v>
      </c>
      <c r="D2228" s="3">
        <v>6.26</v>
      </c>
      <c r="E2228" s="3">
        <v>43.82</v>
      </c>
      <c r="F2228">
        <v>9</v>
      </c>
      <c r="G2228">
        <v>3</v>
      </c>
      <c r="H2228" s="4">
        <v>3.2</v>
      </c>
      <c r="I2228" t="s">
        <v>33</v>
      </c>
      <c r="J2228" t="s">
        <v>33</v>
      </c>
      <c r="L2228">
        <f t="shared" si="68"/>
        <v>2022</v>
      </c>
      <c r="M2228" t="str">
        <f t="shared" si="69"/>
        <v>COVID Period</v>
      </c>
    </row>
    <row r="2229" spans="1:13" x14ac:dyDescent="0.25">
      <c r="A2229" s="2">
        <v>44669</v>
      </c>
      <c r="B2229" t="s">
        <v>37</v>
      </c>
      <c r="C2229">
        <v>24</v>
      </c>
      <c r="D2229" s="3">
        <v>3.33</v>
      </c>
      <c r="E2229" s="3">
        <v>79.92</v>
      </c>
      <c r="F2229">
        <v>28</v>
      </c>
      <c r="G2229">
        <v>8</v>
      </c>
      <c r="H2229" s="4">
        <v>2.1</v>
      </c>
      <c r="I2229" t="s">
        <v>33</v>
      </c>
      <c r="J2229" t="s">
        <v>33</v>
      </c>
      <c r="L2229">
        <f t="shared" si="68"/>
        <v>2022</v>
      </c>
      <c r="M2229" t="str">
        <f t="shared" si="69"/>
        <v>COVID Period</v>
      </c>
    </row>
    <row r="2230" spans="1:13" x14ac:dyDescent="0.25">
      <c r="A2230" s="2">
        <v>44669</v>
      </c>
      <c r="B2230" t="s">
        <v>38</v>
      </c>
      <c r="C2230">
        <v>9</v>
      </c>
      <c r="D2230" s="3">
        <v>8.58</v>
      </c>
      <c r="E2230" s="3">
        <v>77.22</v>
      </c>
      <c r="F2230">
        <v>12</v>
      </c>
      <c r="G2230">
        <v>3</v>
      </c>
      <c r="H2230" s="4">
        <v>1.9</v>
      </c>
      <c r="I2230" t="s">
        <v>33</v>
      </c>
      <c r="J2230" t="s">
        <v>33</v>
      </c>
      <c r="L2230">
        <f t="shared" si="68"/>
        <v>2022</v>
      </c>
      <c r="M2230" t="str">
        <f t="shared" si="69"/>
        <v>COVID Period</v>
      </c>
    </row>
    <row r="2231" spans="1:13" x14ac:dyDescent="0.25">
      <c r="A2231" s="2">
        <v>44669</v>
      </c>
      <c r="B2231" t="s">
        <v>39</v>
      </c>
      <c r="C2231">
        <v>32</v>
      </c>
      <c r="D2231" s="3">
        <v>11.79</v>
      </c>
      <c r="E2231" s="3">
        <v>377.28</v>
      </c>
      <c r="F2231">
        <v>45</v>
      </c>
      <c r="G2231">
        <v>17</v>
      </c>
      <c r="H2231" s="4">
        <v>1.3</v>
      </c>
      <c r="I2231" t="s">
        <v>33</v>
      </c>
      <c r="J2231" t="s">
        <v>33</v>
      </c>
      <c r="L2231">
        <f t="shared" si="68"/>
        <v>2022</v>
      </c>
      <c r="M2231" t="str">
        <f t="shared" si="69"/>
        <v>COVID Period</v>
      </c>
    </row>
    <row r="2232" spans="1:13" x14ac:dyDescent="0.25">
      <c r="A2232" s="2">
        <v>44669</v>
      </c>
      <c r="B2232" t="s">
        <v>40</v>
      </c>
      <c r="C2232">
        <v>29</v>
      </c>
      <c r="D2232" s="3">
        <v>0.63</v>
      </c>
      <c r="E2232" s="3">
        <v>18.27</v>
      </c>
      <c r="F2232">
        <v>42</v>
      </c>
      <c r="G2232">
        <v>17</v>
      </c>
      <c r="H2232" s="4">
        <v>2.1</v>
      </c>
      <c r="I2232" t="s">
        <v>46</v>
      </c>
      <c r="J2232" t="s">
        <v>33</v>
      </c>
      <c r="K2232" t="s">
        <v>47</v>
      </c>
      <c r="L2232">
        <f t="shared" si="68"/>
        <v>2022</v>
      </c>
      <c r="M2232" t="str">
        <f t="shared" si="69"/>
        <v>COVID Period</v>
      </c>
    </row>
    <row r="2233" spans="1:13" x14ac:dyDescent="0.25">
      <c r="A2233" s="2">
        <v>44669</v>
      </c>
      <c r="B2233" t="s">
        <v>41</v>
      </c>
      <c r="C2233">
        <v>16</v>
      </c>
      <c r="D2233" s="3">
        <v>1.39</v>
      </c>
      <c r="E2233" s="3">
        <v>22.24</v>
      </c>
      <c r="F2233">
        <v>24</v>
      </c>
      <c r="G2233">
        <v>12</v>
      </c>
      <c r="H2233" s="4">
        <v>2.2000000000000002</v>
      </c>
      <c r="I2233" t="s">
        <v>46</v>
      </c>
      <c r="J2233" t="s">
        <v>33</v>
      </c>
      <c r="K2233" t="s">
        <v>47</v>
      </c>
      <c r="L2233">
        <f t="shared" si="68"/>
        <v>2022</v>
      </c>
      <c r="M2233" t="str">
        <f t="shared" si="69"/>
        <v>COVID Period</v>
      </c>
    </row>
    <row r="2234" spans="1:13" x14ac:dyDescent="0.25">
      <c r="A2234" s="2">
        <v>44669</v>
      </c>
      <c r="B2234" t="s">
        <v>42</v>
      </c>
      <c r="C2234">
        <v>15</v>
      </c>
      <c r="D2234" s="3">
        <v>4.33</v>
      </c>
      <c r="E2234" s="3">
        <v>64.95</v>
      </c>
      <c r="F2234">
        <v>23</v>
      </c>
      <c r="G2234">
        <v>10</v>
      </c>
      <c r="H2234" s="4">
        <v>0.4</v>
      </c>
      <c r="I2234" t="s">
        <v>46</v>
      </c>
      <c r="J2234" t="s">
        <v>33</v>
      </c>
      <c r="K2234" t="s">
        <v>47</v>
      </c>
      <c r="L2234">
        <f t="shared" si="68"/>
        <v>2022</v>
      </c>
      <c r="M2234" t="str">
        <f t="shared" si="69"/>
        <v>COVID Period</v>
      </c>
    </row>
    <row r="2235" spans="1:13" x14ac:dyDescent="0.25">
      <c r="A2235" s="2">
        <v>44669</v>
      </c>
      <c r="B2235" t="s">
        <v>43</v>
      </c>
      <c r="C2235">
        <v>15</v>
      </c>
      <c r="D2235" s="3">
        <v>5.55</v>
      </c>
      <c r="E2235" s="3">
        <v>83.25</v>
      </c>
      <c r="F2235">
        <v>16</v>
      </c>
      <c r="G2235">
        <v>3</v>
      </c>
      <c r="H2235" s="4">
        <v>1.8</v>
      </c>
      <c r="I2235" t="s">
        <v>46</v>
      </c>
      <c r="J2235" t="s">
        <v>33</v>
      </c>
      <c r="L2235">
        <f t="shared" si="68"/>
        <v>2022</v>
      </c>
      <c r="M2235" t="str">
        <f t="shared" si="69"/>
        <v>COVID Period</v>
      </c>
    </row>
    <row r="2236" spans="1:13" x14ac:dyDescent="0.25">
      <c r="A2236" s="2">
        <v>44669</v>
      </c>
      <c r="B2236" t="s">
        <v>44</v>
      </c>
      <c r="C2236">
        <v>0</v>
      </c>
      <c r="D2236" s="3">
        <v>4.95</v>
      </c>
      <c r="E2236" s="3">
        <v>0</v>
      </c>
      <c r="F2236">
        <v>3</v>
      </c>
      <c r="G2236">
        <v>3</v>
      </c>
      <c r="H2236" s="4">
        <v>0.9</v>
      </c>
      <c r="I2236" t="s">
        <v>46</v>
      </c>
      <c r="J2236" t="s">
        <v>33</v>
      </c>
      <c r="K2236" t="s">
        <v>47</v>
      </c>
      <c r="L2236">
        <f t="shared" si="68"/>
        <v>2022</v>
      </c>
      <c r="M2236" t="str">
        <f t="shared" si="69"/>
        <v>COVID Period</v>
      </c>
    </row>
    <row r="2237" spans="1:13" x14ac:dyDescent="0.25">
      <c r="A2237" s="2">
        <v>44669</v>
      </c>
      <c r="B2237" t="s">
        <v>45</v>
      </c>
      <c r="C2237">
        <v>1</v>
      </c>
      <c r="D2237" s="3">
        <v>14.48</v>
      </c>
      <c r="E2237" s="3">
        <v>14.48</v>
      </c>
      <c r="F2237">
        <v>3</v>
      </c>
      <c r="G2237">
        <v>2</v>
      </c>
      <c r="H2237" s="4">
        <v>1.8</v>
      </c>
      <c r="I2237" t="s">
        <v>46</v>
      </c>
      <c r="J2237" t="s">
        <v>33</v>
      </c>
      <c r="L2237">
        <f t="shared" si="68"/>
        <v>2022</v>
      </c>
      <c r="M2237" t="str">
        <f t="shared" si="69"/>
        <v>COVID Period</v>
      </c>
    </row>
    <row r="2238" spans="1:13" x14ac:dyDescent="0.25">
      <c r="A2238" s="2">
        <v>44676</v>
      </c>
      <c r="B2238" t="s">
        <v>32</v>
      </c>
      <c r="C2238">
        <v>16</v>
      </c>
      <c r="D2238" s="3">
        <v>6.89</v>
      </c>
      <c r="E2238" s="3">
        <v>110.24</v>
      </c>
      <c r="F2238">
        <v>18</v>
      </c>
      <c r="G2238">
        <v>4</v>
      </c>
      <c r="H2238" s="4">
        <v>1.8</v>
      </c>
      <c r="I2238" t="s">
        <v>33</v>
      </c>
      <c r="J2238" t="s">
        <v>33</v>
      </c>
      <c r="L2238">
        <f t="shared" si="68"/>
        <v>2022</v>
      </c>
      <c r="M2238" t="str">
        <f t="shared" si="69"/>
        <v>COVID Period</v>
      </c>
    </row>
    <row r="2239" spans="1:13" x14ac:dyDescent="0.25">
      <c r="A2239" s="2">
        <v>44676</v>
      </c>
      <c r="B2239" t="s">
        <v>34</v>
      </c>
      <c r="C2239">
        <v>12</v>
      </c>
      <c r="D2239" s="3">
        <v>7.43</v>
      </c>
      <c r="E2239" s="3">
        <v>89.16</v>
      </c>
      <c r="F2239">
        <v>14</v>
      </c>
      <c r="G2239">
        <v>3</v>
      </c>
      <c r="H2239" s="4">
        <v>0.1</v>
      </c>
      <c r="I2239" t="s">
        <v>33</v>
      </c>
      <c r="J2239" t="s">
        <v>33</v>
      </c>
      <c r="L2239">
        <f t="shared" si="68"/>
        <v>2022</v>
      </c>
      <c r="M2239" t="str">
        <f t="shared" si="69"/>
        <v>COVID Period</v>
      </c>
    </row>
    <row r="2240" spans="1:13" x14ac:dyDescent="0.25">
      <c r="A2240" s="2">
        <v>44676</v>
      </c>
      <c r="B2240" t="s">
        <v>35</v>
      </c>
      <c r="C2240">
        <v>9</v>
      </c>
      <c r="D2240" s="3">
        <v>6.01</v>
      </c>
      <c r="E2240" s="3">
        <v>54.09</v>
      </c>
      <c r="F2240">
        <v>10</v>
      </c>
      <c r="G2240">
        <v>1</v>
      </c>
      <c r="H2240" s="4">
        <v>1.9</v>
      </c>
      <c r="I2240" t="s">
        <v>33</v>
      </c>
      <c r="J2240" t="s">
        <v>33</v>
      </c>
      <c r="L2240">
        <f t="shared" si="68"/>
        <v>2022</v>
      </c>
      <c r="M2240" t="str">
        <f t="shared" si="69"/>
        <v>COVID Period</v>
      </c>
    </row>
    <row r="2241" spans="1:13" x14ac:dyDescent="0.25">
      <c r="A2241" s="2">
        <v>44676</v>
      </c>
      <c r="B2241" t="s">
        <v>36</v>
      </c>
      <c r="C2241">
        <v>8</v>
      </c>
      <c r="D2241" s="3">
        <v>6.1</v>
      </c>
      <c r="E2241" s="3">
        <v>48.8</v>
      </c>
      <c r="F2241">
        <v>12</v>
      </c>
      <c r="G2241">
        <v>4</v>
      </c>
      <c r="H2241" s="4">
        <v>2.5</v>
      </c>
      <c r="I2241" t="s">
        <v>33</v>
      </c>
      <c r="J2241" t="s">
        <v>33</v>
      </c>
      <c r="L2241">
        <f t="shared" si="68"/>
        <v>2022</v>
      </c>
      <c r="M2241" t="str">
        <f t="shared" si="69"/>
        <v>COVID Period</v>
      </c>
    </row>
    <row r="2242" spans="1:13" x14ac:dyDescent="0.25">
      <c r="A2242" s="2">
        <v>44676</v>
      </c>
      <c r="B2242" t="s">
        <v>37</v>
      </c>
      <c r="C2242">
        <v>23</v>
      </c>
      <c r="D2242" s="3">
        <v>3.36</v>
      </c>
      <c r="E2242" s="3">
        <v>77.28</v>
      </c>
      <c r="F2242">
        <v>30</v>
      </c>
      <c r="G2242">
        <v>12</v>
      </c>
      <c r="H2242" s="4">
        <v>2.6</v>
      </c>
      <c r="I2242" t="s">
        <v>33</v>
      </c>
      <c r="J2242" t="s">
        <v>33</v>
      </c>
      <c r="L2242">
        <f t="shared" ref="L2242:L2305" si="70">YEAR(A2242)</f>
        <v>2022</v>
      </c>
      <c r="M2242" t="str">
        <f t="shared" ref="M2242:M2305" si="71">IF(L2242=2019,"Pre-COVID","COVID Period")</f>
        <v>COVID Period</v>
      </c>
    </row>
    <row r="2243" spans="1:13" x14ac:dyDescent="0.25">
      <c r="A2243" s="2">
        <v>44676</v>
      </c>
      <c r="B2243" t="s">
        <v>38</v>
      </c>
      <c r="C2243">
        <v>10</v>
      </c>
      <c r="D2243" s="3">
        <v>8.35</v>
      </c>
      <c r="E2243" s="3">
        <v>83.5</v>
      </c>
      <c r="F2243">
        <v>11</v>
      </c>
      <c r="G2243">
        <v>3</v>
      </c>
      <c r="H2243" s="4">
        <v>2.1</v>
      </c>
      <c r="I2243" t="s">
        <v>33</v>
      </c>
      <c r="J2243" t="s">
        <v>33</v>
      </c>
      <c r="L2243">
        <f t="shared" si="70"/>
        <v>2022</v>
      </c>
      <c r="M2243" t="str">
        <f t="shared" si="71"/>
        <v>COVID Period</v>
      </c>
    </row>
    <row r="2244" spans="1:13" x14ac:dyDescent="0.25">
      <c r="A2244" s="2">
        <v>44676</v>
      </c>
      <c r="B2244" t="s">
        <v>39</v>
      </c>
      <c r="C2244">
        <v>24</v>
      </c>
      <c r="D2244" s="3">
        <v>11.74</v>
      </c>
      <c r="E2244" s="3">
        <v>281.76</v>
      </c>
      <c r="F2244">
        <v>32</v>
      </c>
      <c r="G2244">
        <v>13</v>
      </c>
      <c r="H2244" s="4">
        <v>2</v>
      </c>
      <c r="I2244" t="s">
        <v>33</v>
      </c>
      <c r="J2244" t="s">
        <v>33</v>
      </c>
      <c r="L2244">
        <f t="shared" si="70"/>
        <v>2022</v>
      </c>
      <c r="M2244" t="str">
        <f t="shared" si="71"/>
        <v>COVID Period</v>
      </c>
    </row>
    <row r="2245" spans="1:13" x14ac:dyDescent="0.25">
      <c r="A2245" s="2">
        <v>44676</v>
      </c>
      <c r="B2245" t="s">
        <v>40</v>
      </c>
      <c r="C2245">
        <v>26</v>
      </c>
      <c r="D2245" s="3">
        <v>0.63</v>
      </c>
      <c r="E2245" s="3">
        <v>16.38</v>
      </c>
      <c r="F2245">
        <v>40</v>
      </c>
      <c r="G2245">
        <v>20</v>
      </c>
      <c r="H2245" s="4">
        <v>3.7</v>
      </c>
      <c r="I2245" t="s">
        <v>46</v>
      </c>
      <c r="J2245" t="s">
        <v>33</v>
      </c>
      <c r="K2245" t="s">
        <v>47</v>
      </c>
      <c r="L2245">
        <f t="shared" si="70"/>
        <v>2022</v>
      </c>
      <c r="M2245" t="str">
        <f t="shared" si="71"/>
        <v>COVID Period</v>
      </c>
    </row>
    <row r="2246" spans="1:13" x14ac:dyDescent="0.25">
      <c r="A2246" s="2">
        <v>44676</v>
      </c>
      <c r="B2246" t="s">
        <v>41</v>
      </c>
      <c r="C2246">
        <v>18</v>
      </c>
      <c r="D2246" s="3">
        <v>1.41</v>
      </c>
      <c r="E2246" s="3">
        <v>25.38</v>
      </c>
      <c r="F2246">
        <v>28</v>
      </c>
      <c r="G2246">
        <v>15</v>
      </c>
      <c r="H2246" s="4">
        <v>4.5999999999999996</v>
      </c>
      <c r="I2246" t="s">
        <v>46</v>
      </c>
      <c r="J2246" t="s">
        <v>33</v>
      </c>
      <c r="K2246" t="s">
        <v>47</v>
      </c>
      <c r="L2246">
        <f t="shared" si="70"/>
        <v>2022</v>
      </c>
      <c r="M2246" t="str">
        <f t="shared" si="71"/>
        <v>COVID Period</v>
      </c>
    </row>
    <row r="2247" spans="1:13" x14ac:dyDescent="0.25">
      <c r="A2247" s="2">
        <v>44676</v>
      </c>
      <c r="B2247" t="s">
        <v>42</v>
      </c>
      <c r="C2247">
        <v>19</v>
      </c>
      <c r="D2247" s="3">
        <v>4.05</v>
      </c>
      <c r="E2247" s="3">
        <v>76.95</v>
      </c>
      <c r="F2247">
        <v>22</v>
      </c>
      <c r="G2247">
        <v>6</v>
      </c>
      <c r="H2247" s="4">
        <v>2.6</v>
      </c>
      <c r="I2247" t="s">
        <v>46</v>
      </c>
      <c r="J2247" t="s">
        <v>33</v>
      </c>
      <c r="K2247" t="s">
        <v>47</v>
      </c>
      <c r="L2247">
        <f t="shared" si="70"/>
        <v>2022</v>
      </c>
      <c r="M2247" t="str">
        <f t="shared" si="71"/>
        <v>COVID Period</v>
      </c>
    </row>
    <row r="2248" spans="1:13" x14ac:dyDescent="0.25">
      <c r="A2248" s="2">
        <v>44676</v>
      </c>
      <c r="B2248" t="s">
        <v>43</v>
      </c>
      <c r="C2248">
        <v>11</v>
      </c>
      <c r="D2248" s="3">
        <v>5.5</v>
      </c>
      <c r="E2248" s="3">
        <v>60.5</v>
      </c>
      <c r="F2248">
        <v>12</v>
      </c>
      <c r="G2248">
        <v>3</v>
      </c>
      <c r="H2248" s="4">
        <v>3.5</v>
      </c>
      <c r="I2248" t="s">
        <v>46</v>
      </c>
      <c r="J2248" t="s">
        <v>33</v>
      </c>
      <c r="L2248">
        <f t="shared" si="70"/>
        <v>2022</v>
      </c>
      <c r="M2248" t="str">
        <f t="shared" si="71"/>
        <v>COVID Period</v>
      </c>
    </row>
    <row r="2249" spans="1:13" x14ac:dyDescent="0.25">
      <c r="A2249" s="2">
        <v>44676</v>
      </c>
      <c r="B2249" t="s">
        <v>44</v>
      </c>
      <c r="C2249">
        <v>0</v>
      </c>
      <c r="D2249" s="3">
        <v>4.63</v>
      </c>
      <c r="E2249" s="3">
        <v>0</v>
      </c>
      <c r="F2249">
        <v>3</v>
      </c>
      <c r="G2249">
        <v>3</v>
      </c>
      <c r="H2249" s="4">
        <v>2.2999999999999998</v>
      </c>
      <c r="I2249" t="s">
        <v>46</v>
      </c>
      <c r="J2249" t="s">
        <v>33</v>
      </c>
      <c r="K2249" t="s">
        <v>47</v>
      </c>
      <c r="L2249">
        <f t="shared" si="70"/>
        <v>2022</v>
      </c>
      <c r="M2249" t="str">
        <f t="shared" si="71"/>
        <v>COVID Period</v>
      </c>
    </row>
    <row r="2250" spans="1:13" x14ac:dyDescent="0.25">
      <c r="A2250" s="2">
        <v>44676</v>
      </c>
      <c r="B2250" t="s">
        <v>45</v>
      </c>
      <c r="C2250">
        <v>1</v>
      </c>
      <c r="D2250" s="3">
        <v>15.55</v>
      </c>
      <c r="E2250" s="3">
        <v>15.55</v>
      </c>
      <c r="F2250">
        <v>3</v>
      </c>
      <c r="G2250">
        <v>2</v>
      </c>
      <c r="H2250" s="4">
        <v>4</v>
      </c>
      <c r="I2250" t="s">
        <v>46</v>
      </c>
      <c r="J2250" t="s">
        <v>33</v>
      </c>
      <c r="L2250">
        <f t="shared" si="70"/>
        <v>2022</v>
      </c>
      <c r="M2250" t="str">
        <f t="shared" si="71"/>
        <v>COVID Period</v>
      </c>
    </row>
    <row r="2251" spans="1:13" x14ac:dyDescent="0.25">
      <c r="A2251" s="2">
        <v>44683</v>
      </c>
      <c r="B2251" t="s">
        <v>32</v>
      </c>
      <c r="C2251">
        <v>19</v>
      </c>
      <c r="D2251" s="3">
        <v>6.73</v>
      </c>
      <c r="E2251" s="3">
        <v>127.87</v>
      </c>
      <c r="F2251">
        <v>28</v>
      </c>
      <c r="G2251">
        <v>12</v>
      </c>
      <c r="H2251" s="4">
        <v>1.3</v>
      </c>
      <c r="I2251" t="s">
        <v>33</v>
      </c>
      <c r="J2251" t="s">
        <v>33</v>
      </c>
      <c r="L2251">
        <f t="shared" si="70"/>
        <v>2022</v>
      </c>
      <c r="M2251" t="str">
        <f t="shared" si="71"/>
        <v>COVID Period</v>
      </c>
    </row>
    <row r="2252" spans="1:13" x14ac:dyDescent="0.25">
      <c r="A2252" s="2">
        <v>44683</v>
      </c>
      <c r="B2252" t="s">
        <v>34</v>
      </c>
      <c r="C2252">
        <v>13</v>
      </c>
      <c r="D2252" s="3">
        <v>7.21</v>
      </c>
      <c r="E2252" s="3">
        <v>93.73</v>
      </c>
      <c r="F2252">
        <v>15</v>
      </c>
      <c r="G2252">
        <v>3</v>
      </c>
      <c r="H2252" s="4">
        <v>1.2</v>
      </c>
      <c r="I2252" t="s">
        <v>33</v>
      </c>
      <c r="J2252" t="s">
        <v>33</v>
      </c>
      <c r="L2252">
        <f t="shared" si="70"/>
        <v>2022</v>
      </c>
      <c r="M2252" t="str">
        <f t="shared" si="71"/>
        <v>COVID Period</v>
      </c>
    </row>
    <row r="2253" spans="1:13" x14ac:dyDescent="0.25">
      <c r="A2253" s="2">
        <v>44683</v>
      </c>
      <c r="B2253" t="s">
        <v>35</v>
      </c>
      <c r="C2253">
        <v>9</v>
      </c>
      <c r="D2253" s="3">
        <v>5.84</v>
      </c>
      <c r="E2253" s="3">
        <v>52.56</v>
      </c>
      <c r="F2253">
        <v>11</v>
      </c>
      <c r="G2253">
        <v>3</v>
      </c>
      <c r="H2253" s="4">
        <v>3.3</v>
      </c>
      <c r="I2253" t="s">
        <v>33</v>
      </c>
      <c r="J2253" t="s">
        <v>33</v>
      </c>
      <c r="L2253">
        <f t="shared" si="70"/>
        <v>2022</v>
      </c>
      <c r="M2253" t="str">
        <f t="shared" si="71"/>
        <v>COVID Period</v>
      </c>
    </row>
    <row r="2254" spans="1:13" x14ac:dyDescent="0.25">
      <c r="A2254" s="2">
        <v>44683</v>
      </c>
      <c r="B2254" t="s">
        <v>36</v>
      </c>
      <c r="C2254">
        <v>9</v>
      </c>
      <c r="D2254" s="3">
        <v>6.22</v>
      </c>
      <c r="E2254" s="3">
        <v>55.98</v>
      </c>
      <c r="F2254">
        <v>9</v>
      </c>
      <c r="G2254">
        <v>1</v>
      </c>
      <c r="H2254" s="4">
        <v>1.4</v>
      </c>
      <c r="I2254" t="s">
        <v>33</v>
      </c>
      <c r="J2254" t="s">
        <v>33</v>
      </c>
      <c r="L2254">
        <f t="shared" si="70"/>
        <v>2022</v>
      </c>
      <c r="M2254" t="str">
        <f t="shared" si="71"/>
        <v>COVID Period</v>
      </c>
    </row>
    <row r="2255" spans="1:13" x14ac:dyDescent="0.25">
      <c r="A2255" s="2">
        <v>44683</v>
      </c>
      <c r="B2255" t="s">
        <v>37</v>
      </c>
      <c r="C2255">
        <v>21</v>
      </c>
      <c r="D2255" s="3">
        <v>3.1</v>
      </c>
      <c r="E2255" s="3">
        <v>65.099999999999994</v>
      </c>
      <c r="F2255">
        <v>22</v>
      </c>
      <c r="G2255">
        <v>5</v>
      </c>
      <c r="H2255" s="4">
        <v>1.5</v>
      </c>
      <c r="I2255" t="s">
        <v>33</v>
      </c>
      <c r="J2255" t="s">
        <v>33</v>
      </c>
      <c r="L2255">
        <f t="shared" si="70"/>
        <v>2022</v>
      </c>
      <c r="M2255" t="str">
        <f t="shared" si="71"/>
        <v>COVID Period</v>
      </c>
    </row>
    <row r="2256" spans="1:13" x14ac:dyDescent="0.25">
      <c r="A2256" s="2">
        <v>44683</v>
      </c>
      <c r="B2256" t="s">
        <v>38</v>
      </c>
      <c r="C2256">
        <v>13</v>
      </c>
      <c r="D2256" s="3">
        <v>8.51</v>
      </c>
      <c r="E2256" s="3">
        <v>110.63</v>
      </c>
      <c r="F2256">
        <v>14</v>
      </c>
      <c r="G2256">
        <v>1</v>
      </c>
      <c r="H2256" s="4">
        <v>2.9</v>
      </c>
      <c r="I2256" t="s">
        <v>33</v>
      </c>
      <c r="J2256" t="s">
        <v>33</v>
      </c>
      <c r="L2256">
        <f t="shared" si="70"/>
        <v>2022</v>
      </c>
      <c r="M2256" t="str">
        <f t="shared" si="71"/>
        <v>COVID Period</v>
      </c>
    </row>
    <row r="2257" spans="1:13" x14ac:dyDescent="0.25">
      <c r="A2257" s="2">
        <v>44683</v>
      </c>
      <c r="B2257" t="s">
        <v>39</v>
      </c>
      <c r="C2257">
        <v>25</v>
      </c>
      <c r="D2257" s="3">
        <v>12.01</v>
      </c>
      <c r="E2257" s="3">
        <v>300.25</v>
      </c>
      <c r="F2257">
        <v>34</v>
      </c>
      <c r="G2257">
        <v>13</v>
      </c>
      <c r="H2257" s="4">
        <v>2</v>
      </c>
      <c r="I2257" t="s">
        <v>33</v>
      </c>
      <c r="J2257" t="s">
        <v>33</v>
      </c>
      <c r="L2257">
        <f t="shared" si="70"/>
        <v>2022</v>
      </c>
      <c r="M2257" t="str">
        <f t="shared" si="71"/>
        <v>COVID Period</v>
      </c>
    </row>
    <row r="2258" spans="1:13" x14ac:dyDescent="0.25">
      <c r="A2258" s="2">
        <v>44683</v>
      </c>
      <c r="B2258" t="s">
        <v>40</v>
      </c>
      <c r="C2258">
        <v>23</v>
      </c>
      <c r="D2258" s="3">
        <v>0.65</v>
      </c>
      <c r="E2258" s="3">
        <v>14.95</v>
      </c>
      <c r="F2258">
        <v>29</v>
      </c>
      <c r="G2258">
        <v>9</v>
      </c>
      <c r="H2258" s="4">
        <v>3.7</v>
      </c>
      <c r="I2258" t="s">
        <v>46</v>
      </c>
      <c r="J2258" t="s">
        <v>33</v>
      </c>
      <c r="K2258" t="s">
        <v>47</v>
      </c>
      <c r="L2258">
        <f t="shared" si="70"/>
        <v>2022</v>
      </c>
      <c r="M2258" t="str">
        <f t="shared" si="71"/>
        <v>COVID Period</v>
      </c>
    </row>
    <row r="2259" spans="1:13" x14ac:dyDescent="0.25">
      <c r="A2259" s="2">
        <v>44683</v>
      </c>
      <c r="B2259" t="s">
        <v>41</v>
      </c>
      <c r="C2259">
        <v>19</v>
      </c>
      <c r="D2259" s="3">
        <v>1.35</v>
      </c>
      <c r="E2259" s="3">
        <v>25.65</v>
      </c>
      <c r="F2259">
        <v>30</v>
      </c>
      <c r="G2259">
        <v>15</v>
      </c>
      <c r="H2259" s="4">
        <v>2</v>
      </c>
      <c r="I2259" t="s">
        <v>46</v>
      </c>
      <c r="J2259" t="s">
        <v>33</v>
      </c>
      <c r="K2259" t="s">
        <v>47</v>
      </c>
      <c r="L2259">
        <f t="shared" si="70"/>
        <v>2022</v>
      </c>
      <c r="M2259" t="str">
        <f t="shared" si="71"/>
        <v>COVID Period</v>
      </c>
    </row>
    <row r="2260" spans="1:13" x14ac:dyDescent="0.25">
      <c r="A2260" s="2">
        <v>44683</v>
      </c>
      <c r="B2260" t="s">
        <v>42</v>
      </c>
      <c r="C2260">
        <v>25</v>
      </c>
      <c r="D2260" s="3">
        <v>4.33</v>
      </c>
      <c r="E2260" s="3">
        <v>108.25</v>
      </c>
      <c r="F2260">
        <v>40</v>
      </c>
      <c r="G2260">
        <v>21</v>
      </c>
      <c r="H2260" s="4">
        <v>1.4</v>
      </c>
      <c r="I2260" t="s">
        <v>46</v>
      </c>
      <c r="J2260" t="s">
        <v>33</v>
      </c>
      <c r="K2260" t="s">
        <v>47</v>
      </c>
      <c r="L2260">
        <f t="shared" si="70"/>
        <v>2022</v>
      </c>
      <c r="M2260" t="str">
        <f t="shared" si="71"/>
        <v>COVID Period</v>
      </c>
    </row>
    <row r="2261" spans="1:13" x14ac:dyDescent="0.25">
      <c r="A2261" s="2">
        <v>44683</v>
      </c>
      <c r="B2261" t="s">
        <v>43</v>
      </c>
      <c r="C2261">
        <v>13</v>
      </c>
      <c r="D2261" s="3">
        <v>5.66</v>
      </c>
      <c r="E2261" s="3">
        <v>73.58</v>
      </c>
      <c r="F2261">
        <v>20</v>
      </c>
      <c r="G2261">
        <v>7</v>
      </c>
      <c r="H2261" s="4">
        <v>2.2999999999999998</v>
      </c>
      <c r="I2261" t="s">
        <v>46</v>
      </c>
      <c r="J2261" t="s">
        <v>33</v>
      </c>
      <c r="L2261">
        <f t="shared" si="70"/>
        <v>2022</v>
      </c>
      <c r="M2261" t="str">
        <f t="shared" si="71"/>
        <v>COVID Period</v>
      </c>
    </row>
    <row r="2262" spans="1:13" x14ac:dyDescent="0.25">
      <c r="A2262" s="2">
        <v>44683</v>
      </c>
      <c r="B2262" t="s">
        <v>44</v>
      </c>
      <c r="C2262">
        <v>0</v>
      </c>
      <c r="D2262" s="3">
        <v>4.7699999999999996</v>
      </c>
      <c r="E2262" s="3">
        <v>0</v>
      </c>
      <c r="F2262">
        <v>3</v>
      </c>
      <c r="G2262">
        <v>3</v>
      </c>
      <c r="H2262" s="4">
        <v>1.9</v>
      </c>
      <c r="I2262" t="s">
        <v>46</v>
      </c>
      <c r="J2262" t="s">
        <v>33</v>
      </c>
      <c r="K2262" t="s">
        <v>47</v>
      </c>
      <c r="L2262">
        <f t="shared" si="70"/>
        <v>2022</v>
      </c>
      <c r="M2262" t="str">
        <f t="shared" si="71"/>
        <v>COVID Period</v>
      </c>
    </row>
    <row r="2263" spans="1:13" x14ac:dyDescent="0.25">
      <c r="A2263" s="2">
        <v>44683</v>
      </c>
      <c r="B2263" t="s">
        <v>45</v>
      </c>
      <c r="C2263">
        <v>0</v>
      </c>
      <c r="D2263" s="3">
        <v>15.13</v>
      </c>
      <c r="E2263" s="3">
        <v>0</v>
      </c>
      <c r="F2263">
        <v>3</v>
      </c>
      <c r="G2263">
        <v>3</v>
      </c>
      <c r="H2263" s="4">
        <v>2</v>
      </c>
      <c r="I2263" t="s">
        <v>33</v>
      </c>
      <c r="J2263" t="s">
        <v>33</v>
      </c>
      <c r="L2263">
        <f t="shared" si="70"/>
        <v>2022</v>
      </c>
      <c r="M2263" t="str">
        <f t="shared" si="71"/>
        <v>COVID Period</v>
      </c>
    </row>
    <row r="2264" spans="1:13" x14ac:dyDescent="0.25">
      <c r="A2264" s="2">
        <v>44690</v>
      </c>
      <c r="B2264" t="s">
        <v>32</v>
      </c>
      <c r="C2264">
        <v>20</v>
      </c>
      <c r="D2264" s="3">
        <v>7</v>
      </c>
      <c r="E2264" s="3">
        <v>140</v>
      </c>
      <c r="F2264">
        <v>28</v>
      </c>
      <c r="G2264">
        <v>9</v>
      </c>
      <c r="H2264" s="4">
        <v>1.4</v>
      </c>
      <c r="I2264" t="s">
        <v>33</v>
      </c>
      <c r="J2264" t="s">
        <v>33</v>
      </c>
      <c r="L2264">
        <f t="shared" si="70"/>
        <v>2022</v>
      </c>
      <c r="M2264" t="str">
        <f t="shared" si="71"/>
        <v>COVID Period</v>
      </c>
    </row>
    <row r="2265" spans="1:13" x14ac:dyDescent="0.25">
      <c r="A2265" s="2">
        <v>44690</v>
      </c>
      <c r="B2265" t="s">
        <v>34</v>
      </c>
      <c r="C2265">
        <v>17</v>
      </c>
      <c r="D2265" s="3">
        <v>7.03</v>
      </c>
      <c r="E2265" s="3">
        <v>119.51</v>
      </c>
      <c r="F2265">
        <v>23</v>
      </c>
      <c r="G2265">
        <v>8</v>
      </c>
      <c r="H2265" s="4">
        <v>2.2999999999999998</v>
      </c>
      <c r="I2265" t="s">
        <v>33</v>
      </c>
      <c r="J2265" t="s">
        <v>33</v>
      </c>
      <c r="L2265">
        <f t="shared" si="70"/>
        <v>2022</v>
      </c>
      <c r="M2265" t="str">
        <f t="shared" si="71"/>
        <v>COVID Period</v>
      </c>
    </row>
    <row r="2266" spans="1:13" x14ac:dyDescent="0.25">
      <c r="A2266" s="2">
        <v>44690</v>
      </c>
      <c r="B2266" t="s">
        <v>35</v>
      </c>
      <c r="C2266">
        <v>10</v>
      </c>
      <c r="D2266" s="3">
        <v>6.1</v>
      </c>
      <c r="E2266" s="3">
        <v>61</v>
      </c>
      <c r="F2266">
        <v>14</v>
      </c>
      <c r="G2266">
        <v>5</v>
      </c>
      <c r="H2266" s="4">
        <v>2.5</v>
      </c>
      <c r="I2266" t="s">
        <v>33</v>
      </c>
      <c r="J2266" t="s">
        <v>33</v>
      </c>
      <c r="L2266">
        <f t="shared" si="70"/>
        <v>2022</v>
      </c>
      <c r="M2266" t="str">
        <f t="shared" si="71"/>
        <v>COVID Period</v>
      </c>
    </row>
    <row r="2267" spans="1:13" x14ac:dyDescent="0.25">
      <c r="A2267" s="2">
        <v>44690</v>
      </c>
      <c r="B2267" t="s">
        <v>36</v>
      </c>
      <c r="C2267">
        <v>9</v>
      </c>
      <c r="D2267" s="3">
        <v>6.05</v>
      </c>
      <c r="E2267" s="3">
        <v>54.45</v>
      </c>
      <c r="F2267">
        <v>14</v>
      </c>
      <c r="G2267">
        <v>5</v>
      </c>
      <c r="H2267" s="4">
        <v>1.2</v>
      </c>
      <c r="I2267" t="s">
        <v>33</v>
      </c>
      <c r="J2267" t="s">
        <v>33</v>
      </c>
      <c r="L2267">
        <f t="shared" si="70"/>
        <v>2022</v>
      </c>
      <c r="M2267" t="str">
        <f t="shared" si="71"/>
        <v>COVID Period</v>
      </c>
    </row>
    <row r="2268" spans="1:13" x14ac:dyDescent="0.25">
      <c r="A2268" s="2">
        <v>44690</v>
      </c>
      <c r="B2268" t="s">
        <v>37</v>
      </c>
      <c r="C2268">
        <v>23</v>
      </c>
      <c r="D2268" s="3">
        <v>3.14</v>
      </c>
      <c r="E2268" s="3">
        <v>72.22</v>
      </c>
      <c r="F2268">
        <v>34</v>
      </c>
      <c r="G2268">
        <v>11</v>
      </c>
      <c r="H2268" s="4">
        <v>1.3</v>
      </c>
      <c r="I2268" t="s">
        <v>33</v>
      </c>
      <c r="J2268" t="s">
        <v>33</v>
      </c>
      <c r="L2268">
        <f t="shared" si="70"/>
        <v>2022</v>
      </c>
      <c r="M2268" t="str">
        <f t="shared" si="71"/>
        <v>COVID Period</v>
      </c>
    </row>
    <row r="2269" spans="1:13" x14ac:dyDescent="0.25">
      <c r="A2269" s="2">
        <v>44690</v>
      </c>
      <c r="B2269" t="s">
        <v>38</v>
      </c>
      <c r="C2269">
        <v>13</v>
      </c>
      <c r="D2269" s="3">
        <v>8.84</v>
      </c>
      <c r="E2269" s="3">
        <v>114.92</v>
      </c>
      <c r="F2269">
        <v>14</v>
      </c>
      <c r="G2269">
        <v>3</v>
      </c>
      <c r="H2269" s="4">
        <v>1.6</v>
      </c>
      <c r="I2269" t="s">
        <v>33</v>
      </c>
      <c r="J2269" t="s">
        <v>33</v>
      </c>
      <c r="L2269">
        <f t="shared" si="70"/>
        <v>2022</v>
      </c>
      <c r="M2269" t="str">
        <f t="shared" si="71"/>
        <v>COVID Period</v>
      </c>
    </row>
    <row r="2270" spans="1:13" x14ac:dyDescent="0.25">
      <c r="A2270" s="2">
        <v>44690</v>
      </c>
      <c r="B2270" t="s">
        <v>39</v>
      </c>
      <c r="C2270">
        <v>14</v>
      </c>
      <c r="D2270" s="3">
        <v>11.74</v>
      </c>
      <c r="E2270" s="3">
        <v>164.36</v>
      </c>
      <c r="F2270">
        <v>23</v>
      </c>
      <c r="G2270">
        <v>12</v>
      </c>
      <c r="H2270" s="4">
        <v>2.2999999999999998</v>
      </c>
      <c r="I2270" t="s">
        <v>33</v>
      </c>
      <c r="J2270" t="s">
        <v>33</v>
      </c>
      <c r="L2270">
        <f t="shared" si="70"/>
        <v>2022</v>
      </c>
      <c r="M2270" t="str">
        <f t="shared" si="71"/>
        <v>COVID Period</v>
      </c>
    </row>
    <row r="2271" spans="1:13" x14ac:dyDescent="0.25">
      <c r="A2271" s="2">
        <v>44690</v>
      </c>
      <c r="B2271" t="s">
        <v>40</v>
      </c>
      <c r="C2271">
        <v>21</v>
      </c>
      <c r="D2271" s="3">
        <v>0.65</v>
      </c>
      <c r="E2271" s="3">
        <v>13.65</v>
      </c>
      <c r="F2271">
        <v>29</v>
      </c>
      <c r="G2271">
        <v>10</v>
      </c>
      <c r="H2271" s="4">
        <v>3.3</v>
      </c>
      <c r="I2271" t="s">
        <v>46</v>
      </c>
      <c r="J2271" t="s">
        <v>33</v>
      </c>
      <c r="K2271" t="s">
        <v>47</v>
      </c>
      <c r="L2271">
        <f t="shared" si="70"/>
        <v>2022</v>
      </c>
      <c r="M2271" t="str">
        <f t="shared" si="71"/>
        <v>COVID Period</v>
      </c>
    </row>
    <row r="2272" spans="1:13" x14ac:dyDescent="0.25">
      <c r="A2272" s="2">
        <v>44690</v>
      </c>
      <c r="B2272" t="s">
        <v>41</v>
      </c>
      <c r="C2272">
        <v>23</v>
      </c>
      <c r="D2272" s="3">
        <v>1.4</v>
      </c>
      <c r="E2272" s="3">
        <v>32.200000000000003</v>
      </c>
      <c r="F2272">
        <v>37</v>
      </c>
      <c r="G2272">
        <v>18</v>
      </c>
      <c r="H2272" s="4">
        <v>3.4</v>
      </c>
      <c r="I2272" t="s">
        <v>46</v>
      </c>
      <c r="J2272" t="s">
        <v>33</v>
      </c>
      <c r="K2272" t="s">
        <v>47</v>
      </c>
      <c r="L2272">
        <f t="shared" si="70"/>
        <v>2022</v>
      </c>
      <c r="M2272" t="str">
        <f t="shared" si="71"/>
        <v>COVID Period</v>
      </c>
    </row>
    <row r="2273" spans="1:13" x14ac:dyDescent="0.25">
      <c r="A2273" s="2">
        <v>44690</v>
      </c>
      <c r="B2273" t="s">
        <v>42</v>
      </c>
      <c r="C2273">
        <v>24</v>
      </c>
      <c r="D2273" s="3">
        <v>4.26</v>
      </c>
      <c r="E2273" s="3">
        <v>102.24</v>
      </c>
      <c r="F2273">
        <v>27</v>
      </c>
      <c r="G2273">
        <v>5</v>
      </c>
      <c r="H2273" s="4">
        <v>4.0999999999999996</v>
      </c>
      <c r="I2273" t="s">
        <v>46</v>
      </c>
      <c r="J2273" t="s">
        <v>33</v>
      </c>
      <c r="K2273" t="s">
        <v>47</v>
      </c>
      <c r="L2273">
        <f t="shared" si="70"/>
        <v>2022</v>
      </c>
      <c r="M2273" t="str">
        <f t="shared" si="71"/>
        <v>COVID Period</v>
      </c>
    </row>
    <row r="2274" spans="1:13" x14ac:dyDescent="0.25">
      <c r="A2274" s="2">
        <v>44690</v>
      </c>
      <c r="B2274" t="s">
        <v>43</v>
      </c>
      <c r="C2274">
        <v>18</v>
      </c>
      <c r="D2274" s="3">
        <v>5.73</v>
      </c>
      <c r="E2274" s="3">
        <v>103.14</v>
      </c>
      <c r="F2274">
        <v>25</v>
      </c>
      <c r="G2274">
        <v>10</v>
      </c>
      <c r="H2274" s="4">
        <v>2.6</v>
      </c>
      <c r="I2274" t="s">
        <v>46</v>
      </c>
      <c r="J2274" t="s">
        <v>33</v>
      </c>
      <c r="L2274">
        <f t="shared" si="70"/>
        <v>2022</v>
      </c>
      <c r="M2274" t="str">
        <f t="shared" si="71"/>
        <v>COVID Period</v>
      </c>
    </row>
    <row r="2275" spans="1:13" x14ac:dyDescent="0.25">
      <c r="A2275" s="2">
        <v>44690</v>
      </c>
      <c r="B2275" t="s">
        <v>44</v>
      </c>
      <c r="C2275">
        <v>0</v>
      </c>
      <c r="D2275" s="3">
        <v>4.9400000000000004</v>
      </c>
      <c r="E2275" s="3">
        <v>0</v>
      </c>
      <c r="F2275">
        <v>3</v>
      </c>
      <c r="G2275">
        <v>3</v>
      </c>
      <c r="H2275" s="4">
        <v>0.4</v>
      </c>
      <c r="I2275" t="s">
        <v>46</v>
      </c>
      <c r="J2275" t="s">
        <v>33</v>
      </c>
      <c r="K2275" t="s">
        <v>47</v>
      </c>
      <c r="L2275">
        <f t="shared" si="70"/>
        <v>2022</v>
      </c>
      <c r="M2275" t="str">
        <f t="shared" si="71"/>
        <v>COVID Period</v>
      </c>
    </row>
    <row r="2276" spans="1:13" x14ac:dyDescent="0.25">
      <c r="A2276" s="2">
        <v>44690</v>
      </c>
      <c r="B2276" t="s">
        <v>45</v>
      </c>
      <c r="C2276">
        <v>0</v>
      </c>
      <c r="D2276" s="3">
        <v>14.54</v>
      </c>
      <c r="E2276" s="3">
        <v>0</v>
      </c>
      <c r="F2276">
        <v>3</v>
      </c>
      <c r="G2276">
        <v>3</v>
      </c>
      <c r="H2276" s="4">
        <v>1</v>
      </c>
      <c r="I2276" t="s">
        <v>33</v>
      </c>
      <c r="J2276" t="s">
        <v>33</v>
      </c>
      <c r="L2276">
        <f t="shared" si="70"/>
        <v>2022</v>
      </c>
      <c r="M2276" t="str">
        <f t="shared" si="71"/>
        <v>COVID Period</v>
      </c>
    </row>
    <row r="2277" spans="1:13" x14ac:dyDescent="0.25">
      <c r="A2277" s="2">
        <v>44697</v>
      </c>
      <c r="B2277" t="s">
        <v>32</v>
      </c>
      <c r="C2277">
        <v>13</v>
      </c>
      <c r="D2277" s="3">
        <v>6.83</v>
      </c>
      <c r="E2277" s="3">
        <v>88.79</v>
      </c>
      <c r="F2277">
        <v>20</v>
      </c>
      <c r="G2277">
        <v>8</v>
      </c>
      <c r="H2277" s="4">
        <v>0.7</v>
      </c>
      <c r="I2277" t="s">
        <v>33</v>
      </c>
      <c r="J2277" t="s">
        <v>33</v>
      </c>
      <c r="L2277">
        <f t="shared" si="70"/>
        <v>2022</v>
      </c>
      <c r="M2277" t="str">
        <f t="shared" si="71"/>
        <v>COVID Period</v>
      </c>
    </row>
    <row r="2278" spans="1:13" x14ac:dyDescent="0.25">
      <c r="A2278" s="2">
        <v>44697</v>
      </c>
      <c r="B2278" t="s">
        <v>34</v>
      </c>
      <c r="C2278">
        <v>16</v>
      </c>
      <c r="D2278" s="3">
        <v>7.44</v>
      </c>
      <c r="E2278" s="3">
        <v>119.04</v>
      </c>
      <c r="F2278">
        <v>19</v>
      </c>
      <c r="G2278">
        <v>4</v>
      </c>
      <c r="H2278" s="4">
        <v>2.2000000000000002</v>
      </c>
      <c r="I2278" t="s">
        <v>33</v>
      </c>
      <c r="J2278" t="s">
        <v>33</v>
      </c>
      <c r="L2278">
        <f t="shared" si="70"/>
        <v>2022</v>
      </c>
      <c r="M2278" t="str">
        <f t="shared" si="71"/>
        <v>COVID Period</v>
      </c>
    </row>
    <row r="2279" spans="1:13" x14ac:dyDescent="0.25">
      <c r="A2279" s="2">
        <v>44697</v>
      </c>
      <c r="B2279" t="s">
        <v>35</v>
      </c>
      <c r="C2279">
        <v>12</v>
      </c>
      <c r="D2279" s="3">
        <v>5.75</v>
      </c>
      <c r="E2279" s="3">
        <v>69</v>
      </c>
      <c r="F2279">
        <v>13</v>
      </c>
      <c r="G2279">
        <v>3</v>
      </c>
      <c r="H2279" s="4">
        <v>0</v>
      </c>
      <c r="I2279" t="s">
        <v>33</v>
      </c>
      <c r="J2279" t="s">
        <v>33</v>
      </c>
      <c r="L2279">
        <f t="shared" si="70"/>
        <v>2022</v>
      </c>
      <c r="M2279" t="str">
        <f t="shared" si="71"/>
        <v>COVID Period</v>
      </c>
    </row>
    <row r="2280" spans="1:13" x14ac:dyDescent="0.25">
      <c r="A2280" s="2">
        <v>44697</v>
      </c>
      <c r="B2280" t="s">
        <v>36</v>
      </c>
      <c r="C2280">
        <v>7</v>
      </c>
      <c r="D2280" s="3">
        <v>5.98</v>
      </c>
      <c r="E2280" s="3">
        <v>41.86</v>
      </c>
      <c r="F2280">
        <v>8</v>
      </c>
      <c r="G2280">
        <v>2</v>
      </c>
      <c r="H2280" s="4">
        <v>0.8</v>
      </c>
      <c r="I2280" t="s">
        <v>33</v>
      </c>
      <c r="J2280" t="s">
        <v>46</v>
      </c>
      <c r="L2280">
        <f t="shared" si="70"/>
        <v>2022</v>
      </c>
      <c r="M2280" t="str">
        <f t="shared" si="71"/>
        <v>COVID Period</v>
      </c>
    </row>
    <row r="2281" spans="1:13" x14ac:dyDescent="0.25">
      <c r="A2281" s="2">
        <v>44697</v>
      </c>
      <c r="B2281" t="s">
        <v>37</v>
      </c>
      <c r="C2281">
        <v>24</v>
      </c>
      <c r="D2281" s="3">
        <v>3.08</v>
      </c>
      <c r="E2281" s="3">
        <v>73.92</v>
      </c>
      <c r="F2281">
        <v>29</v>
      </c>
      <c r="G2281">
        <v>5</v>
      </c>
      <c r="H2281" s="4">
        <v>1.5</v>
      </c>
      <c r="I2281" t="s">
        <v>33</v>
      </c>
      <c r="J2281" t="s">
        <v>33</v>
      </c>
      <c r="L2281">
        <f t="shared" si="70"/>
        <v>2022</v>
      </c>
      <c r="M2281" t="str">
        <f t="shared" si="71"/>
        <v>COVID Period</v>
      </c>
    </row>
    <row r="2282" spans="1:13" x14ac:dyDescent="0.25">
      <c r="A2282" s="2">
        <v>44697</v>
      </c>
      <c r="B2282" t="s">
        <v>38</v>
      </c>
      <c r="C2282">
        <v>15</v>
      </c>
      <c r="D2282" s="3">
        <v>8.24</v>
      </c>
      <c r="E2282" s="3">
        <v>123.6</v>
      </c>
      <c r="F2282">
        <v>20</v>
      </c>
      <c r="G2282">
        <v>5</v>
      </c>
      <c r="H2282" s="4">
        <v>0.9</v>
      </c>
      <c r="I2282" t="s">
        <v>33</v>
      </c>
      <c r="J2282" t="s">
        <v>33</v>
      </c>
      <c r="L2282">
        <f t="shared" si="70"/>
        <v>2022</v>
      </c>
      <c r="M2282" t="str">
        <f t="shared" si="71"/>
        <v>COVID Period</v>
      </c>
    </row>
    <row r="2283" spans="1:13" x14ac:dyDescent="0.25">
      <c r="A2283" s="2">
        <v>44697</v>
      </c>
      <c r="B2283" t="s">
        <v>39</v>
      </c>
      <c r="C2283">
        <v>23</v>
      </c>
      <c r="D2283" s="3">
        <v>11.36</v>
      </c>
      <c r="E2283" s="3">
        <v>261.27999999999997</v>
      </c>
      <c r="F2283">
        <v>24</v>
      </c>
      <c r="G2283">
        <v>4</v>
      </c>
      <c r="H2283" s="4">
        <v>0.1</v>
      </c>
      <c r="I2283" t="s">
        <v>33</v>
      </c>
      <c r="J2283" t="s">
        <v>33</v>
      </c>
      <c r="L2283">
        <f t="shared" si="70"/>
        <v>2022</v>
      </c>
      <c r="M2283" t="str">
        <f t="shared" si="71"/>
        <v>COVID Period</v>
      </c>
    </row>
    <row r="2284" spans="1:13" x14ac:dyDescent="0.25">
      <c r="A2284" s="2">
        <v>44697</v>
      </c>
      <c r="B2284" t="s">
        <v>40</v>
      </c>
      <c r="C2284">
        <v>32</v>
      </c>
      <c r="D2284" s="3">
        <v>0.66</v>
      </c>
      <c r="E2284" s="3">
        <v>21.12</v>
      </c>
      <c r="F2284">
        <v>49</v>
      </c>
      <c r="G2284">
        <v>25</v>
      </c>
      <c r="H2284" s="4">
        <v>1.7</v>
      </c>
      <c r="I2284" t="s">
        <v>46</v>
      </c>
      <c r="J2284" t="s">
        <v>33</v>
      </c>
      <c r="K2284" t="s">
        <v>47</v>
      </c>
      <c r="L2284">
        <f t="shared" si="70"/>
        <v>2022</v>
      </c>
      <c r="M2284" t="str">
        <f t="shared" si="71"/>
        <v>COVID Period</v>
      </c>
    </row>
    <row r="2285" spans="1:13" x14ac:dyDescent="0.25">
      <c r="A2285" s="2">
        <v>44697</v>
      </c>
      <c r="B2285" t="s">
        <v>41</v>
      </c>
      <c r="C2285">
        <v>15</v>
      </c>
      <c r="D2285" s="3">
        <v>1.34</v>
      </c>
      <c r="E2285" s="3">
        <v>20.100000000000001</v>
      </c>
      <c r="F2285">
        <v>22</v>
      </c>
      <c r="G2285">
        <v>11</v>
      </c>
      <c r="H2285" s="4">
        <v>3.3</v>
      </c>
      <c r="I2285" t="s">
        <v>46</v>
      </c>
      <c r="J2285" t="s">
        <v>33</v>
      </c>
      <c r="K2285" t="s">
        <v>47</v>
      </c>
      <c r="L2285">
        <f t="shared" si="70"/>
        <v>2022</v>
      </c>
      <c r="M2285" t="str">
        <f t="shared" si="71"/>
        <v>COVID Period</v>
      </c>
    </row>
    <row r="2286" spans="1:13" x14ac:dyDescent="0.25">
      <c r="A2286" s="2">
        <v>44697</v>
      </c>
      <c r="B2286" t="s">
        <v>42</v>
      </c>
      <c r="C2286">
        <v>17</v>
      </c>
      <c r="D2286" s="3">
        <v>4.2699999999999996</v>
      </c>
      <c r="E2286" s="3">
        <v>72.59</v>
      </c>
      <c r="F2286">
        <v>19</v>
      </c>
      <c r="G2286">
        <v>2</v>
      </c>
      <c r="H2286" s="4">
        <v>3</v>
      </c>
      <c r="I2286" t="s">
        <v>46</v>
      </c>
      <c r="J2286" t="s">
        <v>46</v>
      </c>
      <c r="K2286" t="s">
        <v>47</v>
      </c>
      <c r="L2286">
        <f t="shared" si="70"/>
        <v>2022</v>
      </c>
      <c r="M2286" t="str">
        <f t="shared" si="71"/>
        <v>COVID Period</v>
      </c>
    </row>
    <row r="2287" spans="1:13" x14ac:dyDescent="0.25">
      <c r="A2287" s="2">
        <v>44697</v>
      </c>
      <c r="B2287" t="s">
        <v>43</v>
      </c>
      <c r="C2287">
        <v>10</v>
      </c>
      <c r="D2287" s="3">
        <v>5.55</v>
      </c>
      <c r="E2287" s="3">
        <v>55.5</v>
      </c>
      <c r="F2287">
        <v>14</v>
      </c>
      <c r="G2287">
        <v>6</v>
      </c>
      <c r="H2287" s="4">
        <v>0.6</v>
      </c>
      <c r="I2287" t="s">
        <v>46</v>
      </c>
      <c r="J2287" t="s">
        <v>33</v>
      </c>
      <c r="L2287">
        <f t="shared" si="70"/>
        <v>2022</v>
      </c>
      <c r="M2287" t="str">
        <f t="shared" si="71"/>
        <v>COVID Period</v>
      </c>
    </row>
    <row r="2288" spans="1:13" x14ac:dyDescent="0.25">
      <c r="A2288" s="2">
        <v>44697</v>
      </c>
      <c r="B2288" t="s">
        <v>44</v>
      </c>
      <c r="C2288">
        <v>0</v>
      </c>
      <c r="D2288" s="3">
        <v>4.97</v>
      </c>
      <c r="E2288" s="3">
        <v>0</v>
      </c>
      <c r="F2288">
        <v>3</v>
      </c>
      <c r="G2288">
        <v>3</v>
      </c>
      <c r="H2288" s="4">
        <v>1.8</v>
      </c>
      <c r="I2288" t="s">
        <v>46</v>
      </c>
      <c r="J2288" t="s">
        <v>33</v>
      </c>
      <c r="K2288" t="s">
        <v>47</v>
      </c>
      <c r="L2288">
        <f t="shared" si="70"/>
        <v>2022</v>
      </c>
      <c r="M2288" t="str">
        <f t="shared" si="71"/>
        <v>COVID Period</v>
      </c>
    </row>
    <row r="2289" spans="1:13" x14ac:dyDescent="0.25">
      <c r="A2289" s="2">
        <v>44697</v>
      </c>
      <c r="B2289" t="s">
        <v>45</v>
      </c>
      <c r="C2289">
        <v>0</v>
      </c>
      <c r="D2289" s="3">
        <v>14.44</v>
      </c>
      <c r="E2289" s="3">
        <v>0</v>
      </c>
      <c r="F2289">
        <v>3</v>
      </c>
      <c r="G2289">
        <v>3</v>
      </c>
      <c r="H2289" s="4">
        <v>0</v>
      </c>
      <c r="I2289" t="s">
        <v>33</v>
      </c>
      <c r="J2289" t="s">
        <v>33</v>
      </c>
      <c r="L2289">
        <f t="shared" si="70"/>
        <v>2022</v>
      </c>
      <c r="M2289" t="str">
        <f t="shared" si="71"/>
        <v>COVID Period</v>
      </c>
    </row>
    <row r="2290" spans="1:13" x14ac:dyDescent="0.25">
      <c r="A2290" s="2">
        <v>44704</v>
      </c>
      <c r="B2290" t="s">
        <v>32</v>
      </c>
      <c r="C2290">
        <v>19</v>
      </c>
      <c r="D2290" s="3">
        <v>6.54</v>
      </c>
      <c r="E2290" s="3">
        <v>124.26</v>
      </c>
      <c r="F2290">
        <v>24</v>
      </c>
      <c r="G2290">
        <v>9</v>
      </c>
      <c r="H2290" s="4">
        <v>1.8</v>
      </c>
      <c r="I2290" t="s">
        <v>33</v>
      </c>
      <c r="J2290" t="s">
        <v>33</v>
      </c>
      <c r="L2290">
        <f t="shared" si="70"/>
        <v>2022</v>
      </c>
      <c r="M2290" t="str">
        <f t="shared" si="71"/>
        <v>COVID Period</v>
      </c>
    </row>
    <row r="2291" spans="1:13" x14ac:dyDescent="0.25">
      <c r="A2291" s="2">
        <v>44704</v>
      </c>
      <c r="B2291" t="s">
        <v>34</v>
      </c>
      <c r="C2291">
        <v>16</v>
      </c>
      <c r="D2291" s="3">
        <v>6.88</v>
      </c>
      <c r="E2291" s="3">
        <v>110.08</v>
      </c>
      <c r="F2291">
        <v>20</v>
      </c>
      <c r="G2291">
        <v>5</v>
      </c>
      <c r="H2291" s="4">
        <v>2.7</v>
      </c>
      <c r="I2291" t="s">
        <v>33</v>
      </c>
      <c r="J2291" t="s">
        <v>33</v>
      </c>
      <c r="L2291">
        <f t="shared" si="70"/>
        <v>2022</v>
      </c>
      <c r="M2291" t="str">
        <f t="shared" si="71"/>
        <v>COVID Period</v>
      </c>
    </row>
    <row r="2292" spans="1:13" x14ac:dyDescent="0.25">
      <c r="A2292" s="2">
        <v>44704</v>
      </c>
      <c r="B2292" t="s">
        <v>35</v>
      </c>
      <c r="C2292">
        <v>11</v>
      </c>
      <c r="D2292" s="3">
        <v>5.93</v>
      </c>
      <c r="E2292" s="3">
        <v>65.23</v>
      </c>
      <c r="F2292">
        <v>12</v>
      </c>
      <c r="G2292">
        <v>3</v>
      </c>
      <c r="H2292" s="4">
        <v>1.1000000000000001</v>
      </c>
      <c r="I2292" t="s">
        <v>33</v>
      </c>
      <c r="J2292" t="s">
        <v>33</v>
      </c>
      <c r="L2292">
        <f t="shared" si="70"/>
        <v>2022</v>
      </c>
      <c r="M2292" t="str">
        <f t="shared" si="71"/>
        <v>COVID Period</v>
      </c>
    </row>
    <row r="2293" spans="1:13" x14ac:dyDescent="0.25">
      <c r="A2293" s="2">
        <v>44704</v>
      </c>
      <c r="B2293" t="s">
        <v>36</v>
      </c>
      <c r="C2293">
        <v>9</v>
      </c>
      <c r="D2293" s="3">
        <v>6.15</v>
      </c>
      <c r="E2293" s="3">
        <v>55.35</v>
      </c>
      <c r="F2293">
        <v>12</v>
      </c>
      <c r="G2293">
        <v>4</v>
      </c>
      <c r="H2293" s="4">
        <v>0.5</v>
      </c>
      <c r="I2293" t="s">
        <v>33</v>
      </c>
      <c r="J2293" t="s">
        <v>33</v>
      </c>
      <c r="L2293">
        <f t="shared" si="70"/>
        <v>2022</v>
      </c>
      <c r="M2293" t="str">
        <f t="shared" si="71"/>
        <v>COVID Period</v>
      </c>
    </row>
    <row r="2294" spans="1:13" x14ac:dyDescent="0.25">
      <c r="A2294" s="2">
        <v>44704</v>
      </c>
      <c r="B2294" t="s">
        <v>37</v>
      </c>
      <c r="C2294">
        <v>22</v>
      </c>
      <c r="D2294" s="3">
        <v>3.32</v>
      </c>
      <c r="E2294" s="3">
        <v>73.040000000000006</v>
      </c>
      <c r="F2294">
        <v>31</v>
      </c>
      <c r="G2294">
        <v>10</v>
      </c>
      <c r="H2294" s="4">
        <v>3.6</v>
      </c>
      <c r="I2294" t="s">
        <v>33</v>
      </c>
      <c r="J2294" t="s">
        <v>33</v>
      </c>
      <c r="L2294">
        <f t="shared" si="70"/>
        <v>2022</v>
      </c>
      <c r="M2294" t="str">
        <f t="shared" si="71"/>
        <v>COVID Period</v>
      </c>
    </row>
    <row r="2295" spans="1:13" x14ac:dyDescent="0.25">
      <c r="A2295" s="2">
        <v>44704</v>
      </c>
      <c r="B2295" t="s">
        <v>38</v>
      </c>
      <c r="C2295">
        <v>12</v>
      </c>
      <c r="D2295" s="3">
        <v>8.36</v>
      </c>
      <c r="E2295" s="3">
        <v>100.32</v>
      </c>
      <c r="F2295">
        <v>14</v>
      </c>
      <c r="G2295">
        <v>4</v>
      </c>
      <c r="H2295" s="4">
        <v>1.5</v>
      </c>
      <c r="I2295" t="s">
        <v>33</v>
      </c>
      <c r="J2295" t="s">
        <v>33</v>
      </c>
      <c r="L2295">
        <f t="shared" si="70"/>
        <v>2022</v>
      </c>
      <c r="M2295" t="str">
        <f t="shared" si="71"/>
        <v>COVID Period</v>
      </c>
    </row>
    <row r="2296" spans="1:13" x14ac:dyDescent="0.25">
      <c r="A2296" s="2">
        <v>44704</v>
      </c>
      <c r="B2296" t="s">
        <v>39</v>
      </c>
      <c r="C2296">
        <v>25</v>
      </c>
      <c r="D2296" s="3">
        <v>11.09</v>
      </c>
      <c r="E2296" s="3">
        <v>277.25</v>
      </c>
      <c r="F2296">
        <v>37</v>
      </c>
      <c r="G2296">
        <v>17</v>
      </c>
      <c r="H2296" s="4">
        <v>2.1</v>
      </c>
      <c r="I2296" t="s">
        <v>33</v>
      </c>
      <c r="J2296" t="s">
        <v>33</v>
      </c>
      <c r="L2296">
        <f t="shared" si="70"/>
        <v>2022</v>
      </c>
      <c r="M2296" t="str">
        <f t="shared" si="71"/>
        <v>COVID Period</v>
      </c>
    </row>
    <row r="2297" spans="1:13" x14ac:dyDescent="0.25">
      <c r="A2297" s="2">
        <v>44704</v>
      </c>
      <c r="B2297" t="s">
        <v>40</v>
      </c>
      <c r="C2297">
        <v>33</v>
      </c>
      <c r="D2297" s="3">
        <v>0.67</v>
      </c>
      <c r="E2297" s="3">
        <v>22.11</v>
      </c>
      <c r="F2297">
        <v>53</v>
      </c>
      <c r="G2297">
        <v>20</v>
      </c>
      <c r="H2297" s="4">
        <v>4.4000000000000004</v>
      </c>
      <c r="I2297" t="s">
        <v>46</v>
      </c>
      <c r="J2297" t="s">
        <v>33</v>
      </c>
      <c r="K2297" t="s">
        <v>47</v>
      </c>
      <c r="L2297">
        <f t="shared" si="70"/>
        <v>2022</v>
      </c>
      <c r="M2297" t="str">
        <f t="shared" si="71"/>
        <v>COVID Period</v>
      </c>
    </row>
    <row r="2298" spans="1:13" x14ac:dyDescent="0.25">
      <c r="A2298" s="2">
        <v>44704</v>
      </c>
      <c r="B2298" t="s">
        <v>41</v>
      </c>
      <c r="C2298">
        <v>14</v>
      </c>
      <c r="D2298" s="3">
        <v>1.36</v>
      </c>
      <c r="E2298" s="3">
        <v>19.04</v>
      </c>
      <c r="F2298">
        <v>21</v>
      </c>
      <c r="G2298">
        <v>9</v>
      </c>
      <c r="H2298" s="4">
        <v>2.8</v>
      </c>
      <c r="I2298" t="s">
        <v>46</v>
      </c>
      <c r="J2298" t="s">
        <v>33</v>
      </c>
      <c r="K2298" t="s">
        <v>47</v>
      </c>
      <c r="L2298">
        <f t="shared" si="70"/>
        <v>2022</v>
      </c>
      <c r="M2298" t="str">
        <f t="shared" si="71"/>
        <v>COVID Period</v>
      </c>
    </row>
    <row r="2299" spans="1:13" x14ac:dyDescent="0.25">
      <c r="A2299" s="2">
        <v>44704</v>
      </c>
      <c r="B2299" t="s">
        <v>42</v>
      </c>
      <c r="C2299">
        <v>25</v>
      </c>
      <c r="D2299" s="3">
        <v>4.0599999999999996</v>
      </c>
      <c r="E2299" s="3">
        <v>101.5</v>
      </c>
      <c r="F2299">
        <v>41</v>
      </c>
      <c r="G2299">
        <v>17</v>
      </c>
      <c r="H2299" s="4">
        <v>2.2999999999999998</v>
      </c>
      <c r="I2299" t="s">
        <v>46</v>
      </c>
      <c r="J2299" t="s">
        <v>33</v>
      </c>
      <c r="K2299" t="s">
        <v>47</v>
      </c>
      <c r="L2299">
        <f t="shared" si="70"/>
        <v>2022</v>
      </c>
      <c r="M2299" t="str">
        <f t="shared" si="71"/>
        <v>COVID Period</v>
      </c>
    </row>
    <row r="2300" spans="1:13" x14ac:dyDescent="0.25">
      <c r="A2300" s="2">
        <v>44704</v>
      </c>
      <c r="B2300" t="s">
        <v>43</v>
      </c>
      <c r="C2300">
        <v>14</v>
      </c>
      <c r="D2300" s="3">
        <v>5.77</v>
      </c>
      <c r="E2300" s="3">
        <v>80.78</v>
      </c>
      <c r="F2300">
        <v>18</v>
      </c>
      <c r="G2300">
        <v>6</v>
      </c>
      <c r="H2300" s="4">
        <v>2.1</v>
      </c>
      <c r="I2300" t="s">
        <v>46</v>
      </c>
      <c r="J2300" t="s">
        <v>33</v>
      </c>
      <c r="L2300">
        <f t="shared" si="70"/>
        <v>2022</v>
      </c>
      <c r="M2300" t="str">
        <f t="shared" si="71"/>
        <v>COVID Period</v>
      </c>
    </row>
    <row r="2301" spans="1:13" x14ac:dyDescent="0.25">
      <c r="A2301" s="2">
        <v>44704</v>
      </c>
      <c r="B2301" t="s">
        <v>44</v>
      </c>
      <c r="C2301">
        <v>0</v>
      </c>
      <c r="D2301" s="3">
        <v>5.03</v>
      </c>
      <c r="E2301" s="3">
        <v>0</v>
      </c>
      <c r="F2301">
        <v>3</v>
      </c>
      <c r="G2301">
        <v>3</v>
      </c>
      <c r="H2301" s="4">
        <v>2.8</v>
      </c>
      <c r="I2301" t="s">
        <v>46</v>
      </c>
      <c r="J2301" t="s">
        <v>33</v>
      </c>
      <c r="K2301" t="s">
        <v>47</v>
      </c>
      <c r="L2301">
        <f t="shared" si="70"/>
        <v>2022</v>
      </c>
      <c r="M2301" t="str">
        <f t="shared" si="71"/>
        <v>COVID Period</v>
      </c>
    </row>
    <row r="2302" spans="1:13" x14ac:dyDescent="0.25">
      <c r="A2302" s="2">
        <v>44704</v>
      </c>
      <c r="B2302" t="s">
        <v>45</v>
      </c>
      <c r="C2302">
        <v>1</v>
      </c>
      <c r="D2302" s="3">
        <v>14.61</v>
      </c>
      <c r="E2302" s="3">
        <v>14.61</v>
      </c>
      <c r="F2302">
        <v>3</v>
      </c>
      <c r="G2302">
        <v>2</v>
      </c>
      <c r="H2302" s="4">
        <v>2.6</v>
      </c>
      <c r="I2302" t="s">
        <v>46</v>
      </c>
      <c r="J2302" t="s">
        <v>33</v>
      </c>
      <c r="L2302">
        <f t="shared" si="70"/>
        <v>2022</v>
      </c>
      <c r="M2302" t="str">
        <f t="shared" si="71"/>
        <v>COVID Period</v>
      </c>
    </row>
    <row r="2303" spans="1:13" x14ac:dyDescent="0.25">
      <c r="A2303" s="2">
        <v>44711</v>
      </c>
      <c r="B2303" t="s">
        <v>32</v>
      </c>
      <c r="C2303">
        <v>16</v>
      </c>
      <c r="D2303" s="3">
        <v>6.74</v>
      </c>
      <c r="E2303" s="3">
        <v>107.84</v>
      </c>
      <c r="F2303">
        <v>22</v>
      </c>
      <c r="G2303">
        <v>9</v>
      </c>
      <c r="H2303" s="4">
        <v>1.4</v>
      </c>
      <c r="I2303" t="s">
        <v>33</v>
      </c>
      <c r="J2303" t="s">
        <v>33</v>
      </c>
      <c r="L2303">
        <f t="shared" si="70"/>
        <v>2022</v>
      </c>
      <c r="M2303" t="str">
        <f t="shared" si="71"/>
        <v>COVID Period</v>
      </c>
    </row>
    <row r="2304" spans="1:13" x14ac:dyDescent="0.25">
      <c r="A2304" s="2">
        <v>44711</v>
      </c>
      <c r="B2304" t="s">
        <v>34</v>
      </c>
      <c r="C2304">
        <v>12</v>
      </c>
      <c r="D2304" s="3">
        <v>7.18</v>
      </c>
      <c r="E2304" s="3">
        <v>86.16</v>
      </c>
      <c r="F2304">
        <v>16</v>
      </c>
      <c r="G2304">
        <v>4</v>
      </c>
      <c r="H2304" s="4">
        <v>2.2000000000000002</v>
      </c>
      <c r="I2304" t="s">
        <v>33</v>
      </c>
      <c r="J2304" t="s">
        <v>33</v>
      </c>
      <c r="L2304">
        <f t="shared" si="70"/>
        <v>2022</v>
      </c>
      <c r="M2304" t="str">
        <f t="shared" si="71"/>
        <v>COVID Period</v>
      </c>
    </row>
    <row r="2305" spans="1:13" x14ac:dyDescent="0.25">
      <c r="A2305" s="2">
        <v>44711</v>
      </c>
      <c r="B2305" t="s">
        <v>35</v>
      </c>
      <c r="C2305">
        <v>14</v>
      </c>
      <c r="D2305" s="3">
        <v>6.15</v>
      </c>
      <c r="E2305" s="3">
        <v>86.1</v>
      </c>
      <c r="F2305">
        <v>15</v>
      </c>
      <c r="G2305">
        <v>3</v>
      </c>
      <c r="H2305" s="4">
        <v>2.2000000000000002</v>
      </c>
      <c r="I2305" t="s">
        <v>33</v>
      </c>
      <c r="J2305" t="s">
        <v>33</v>
      </c>
      <c r="L2305">
        <f t="shared" si="70"/>
        <v>2022</v>
      </c>
      <c r="M2305" t="str">
        <f t="shared" si="71"/>
        <v>COVID Period</v>
      </c>
    </row>
    <row r="2306" spans="1:13" x14ac:dyDescent="0.25">
      <c r="A2306" s="2">
        <v>44711</v>
      </c>
      <c r="B2306" t="s">
        <v>36</v>
      </c>
      <c r="C2306">
        <v>9</v>
      </c>
      <c r="D2306" s="3">
        <v>6.02</v>
      </c>
      <c r="E2306" s="3">
        <v>54.18</v>
      </c>
      <c r="F2306">
        <v>12</v>
      </c>
      <c r="G2306">
        <v>5</v>
      </c>
      <c r="H2306" s="4">
        <v>1.7</v>
      </c>
      <c r="I2306" t="s">
        <v>33</v>
      </c>
      <c r="J2306" t="s">
        <v>33</v>
      </c>
      <c r="L2306">
        <f t="shared" ref="L2306:L2369" si="72">YEAR(A2306)</f>
        <v>2022</v>
      </c>
      <c r="M2306" t="str">
        <f t="shared" ref="M2306:M2369" si="73">IF(L2306=2019,"Pre-COVID","COVID Period")</f>
        <v>COVID Period</v>
      </c>
    </row>
    <row r="2307" spans="1:13" x14ac:dyDescent="0.25">
      <c r="A2307" s="2">
        <v>44711</v>
      </c>
      <c r="B2307" t="s">
        <v>37</v>
      </c>
      <c r="C2307">
        <v>23</v>
      </c>
      <c r="D2307" s="3">
        <v>3.09</v>
      </c>
      <c r="E2307" s="3">
        <v>71.069999999999993</v>
      </c>
      <c r="F2307">
        <v>25</v>
      </c>
      <c r="G2307">
        <v>5</v>
      </c>
      <c r="H2307" s="4">
        <v>1</v>
      </c>
      <c r="I2307" t="s">
        <v>33</v>
      </c>
      <c r="J2307" t="s">
        <v>33</v>
      </c>
      <c r="L2307">
        <f t="shared" si="72"/>
        <v>2022</v>
      </c>
      <c r="M2307" t="str">
        <f t="shared" si="73"/>
        <v>COVID Period</v>
      </c>
    </row>
    <row r="2308" spans="1:13" x14ac:dyDescent="0.25">
      <c r="A2308" s="2">
        <v>44711</v>
      </c>
      <c r="B2308" t="s">
        <v>38</v>
      </c>
      <c r="C2308">
        <v>14</v>
      </c>
      <c r="D2308" s="3">
        <v>8.25</v>
      </c>
      <c r="E2308" s="3">
        <v>115.5</v>
      </c>
      <c r="F2308">
        <v>17</v>
      </c>
      <c r="G2308">
        <v>5</v>
      </c>
      <c r="H2308" s="4">
        <v>1.3</v>
      </c>
      <c r="I2308" t="s">
        <v>33</v>
      </c>
      <c r="J2308" t="s">
        <v>33</v>
      </c>
      <c r="L2308">
        <f t="shared" si="72"/>
        <v>2022</v>
      </c>
      <c r="M2308" t="str">
        <f t="shared" si="73"/>
        <v>COVID Period</v>
      </c>
    </row>
    <row r="2309" spans="1:13" x14ac:dyDescent="0.25">
      <c r="A2309" s="2">
        <v>44711</v>
      </c>
      <c r="B2309" t="s">
        <v>39</v>
      </c>
      <c r="C2309">
        <v>19</v>
      </c>
      <c r="D2309" s="3">
        <v>11.29</v>
      </c>
      <c r="E2309" s="3">
        <v>214.51</v>
      </c>
      <c r="F2309">
        <v>22</v>
      </c>
      <c r="G2309">
        <v>6</v>
      </c>
      <c r="H2309" s="4">
        <v>2.8</v>
      </c>
      <c r="I2309" t="s">
        <v>33</v>
      </c>
      <c r="J2309" t="s">
        <v>33</v>
      </c>
      <c r="L2309">
        <f t="shared" si="72"/>
        <v>2022</v>
      </c>
      <c r="M2309" t="str">
        <f t="shared" si="73"/>
        <v>COVID Period</v>
      </c>
    </row>
    <row r="2310" spans="1:13" x14ac:dyDescent="0.25">
      <c r="A2310" s="2">
        <v>44711</v>
      </c>
      <c r="B2310" t="s">
        <v>40</v>
      </c>
      <c r="C2310">
        <v>26</v>
      </c>
      <c r="D2310" s="3">
        <v>0.65</v>
      </c>
      <c r="E2310" s="3">
        <v>16.899999999999999</v>
      </c>
      <c r="F2310">
        <v>36</v>
      </c>
      <c r="G2310">
        <v>11</v>
      </c>
      <c r="H2310" s="4">
        <v>1.9</v>
      </c>
      <c r="I2310" t="s">
        <v>46</v>
      </c>
      <c r="J2310" t="s">
        <v>33</v>
      </c>
      <c r="K2310" t="s">
        <v>47</v>
      </c>
      <c r="L2310">
        <f t="shared" si="72"/>
        <v>2022</v>
      </c>
      <c r="M2310" t="str">
        <f t="shared" si="73"/>
        <v>COVID Period</v>
      </c>
    </row>
    <row r="2311" spans="1:13" x14ac:dyDescent="0.25">
      <c r="A2311" s="2">
        <v>44711</v>
      </c>
      <c r="B2311" t="s">
        <v>41</v>
      </c>
      <c r="C2311">
        <v>14</v>
      </c>
      <c r="D2311" s="3">
        <v>1.3</v>
      </c>
      <c r="E2311" s="3">
        <v>18.2</v>
      </c>
      <c r="F2311">
        <v>21</v>
      </c>
      <c r="G2311">
        <v>8</v>
      </c>
      <c r="H2311" s="4">
        <v>5.5</v>
      </c>
      <c r="I2311" t="s">
        <v>46</v>
      </c>
      <c r="J2311" t="s">
        <v>33</v>
      </c>
      <c r="K2311" t="s">
        <v>47</v>
      </c>
      <c r="L2311">
        <f t="shared" si="72"/>
        <v>2022</v>
      </c>
      <c r="M2311" t="str">
        <f t="shared" si="73"/>
        <v>COVID Period</v>
      </c>
    </row>
    <row r="2312" spans="1:13" x14ac:dyDescent="0.25">
      <c r="A2312" s="2">
        <v>44711</v>
      </c>
      <c r="B2312" t="s">
        <v>42</v>
      </c>
      <c r="C2312">
        <v>20</v>
      </c>
      <c r="D2312" s="3">
        <v>4.3899999999999997</v>
      </c>
      <c r="E2312" s="3">
        <v>87.8</v>
      </c>
      <c r="F2312">
        <v>24</v>
      </c>
      <c r="G2312">
        <v>5</v>
      </c>
      <c r="H2312" s="4">
        <v>3</v>
      </c>
      <c r="I2312" t="s">
        <v>46</v>
      </c>
      <c r="J2312" t="s">
        <v>33</v>
      </c>
      <c r="K2312" t="s">
        <v>47</v>
      </c>
      <c r="L2312">
        <f t="shared" si="72"/>
        <v>2022</v>
      </c>
      <c r="M2312" t="str">
        <f t="shared" si="73"/>
        <v>COVID Period</v>
      </c>
    </row>
    <row r="2313" spans="1:13" x14ac:dyDescent="0.25">
      <c r="A2313" s="2">
        <v>44711</v>
      </c>
      <c r="B2313" t="s">
        <v>43</v>
      </c>
      <c r="C2313">
        <v>13</v>
      </c>
      <c r="D2313" s="3">
        <v>5.29</v>
      </c>
      <c r="E2313" s="3">
        <v>68.77</v>
      </c>
      <c r="F2313">
        <v>16</v>
      </c>
      <c r="G2313">
        <v>4</v>
      </c>
      <c r="H2313" s="4">
        <v>2.9</v>
      </c>
      <c r="I2313" t="s">
        <v>46</v>
      </c>
      <c r="J2313" t="s">
        <v>33</v>
      </c>
      <c r="L2313">
        <f t="shared" si="72"/>
        <v>2022</v>
      </c>
      <c r="M2313" t="str">
        <f t="shared" si="73"/>
        <v>COVID Period</v>
      </c>
    </row>
    <row r="2314" spans="1:13" x14ac:dyDescent="0.25">
      <c r="A2314" s="2">
        <v>44711</v>
      </c>
      <c r="B2314" t="s">
        <v>44</v>
      </c>
      <c r="C2314">
        <v>0</v>
      </c>
      <c r="D2314" s="3">
        <v>4.66</v>
      </c>
      <c r="E2314" s="3">
        <v>0</v>
      </c>
      <c r="F2314">
        <v>3</v>
      </c>
      <c r="G2314">
        <v>3</v>
      </c>
      <c r="H2314" s="4">
        <v>0.9</v>
      </c>
      <c r="I2314" t="s">
        <v>46</v>
      </c>
      <c r="J2314" t="s">
        <v>33</v>
      </c>
      <c r="K2314" t="s">
        <v>47</v>
      </c>
      <c r="L2314">
        <f t="shared" si="72"/>
        <v>2022</v>
      </c>
      <c r="M2314" t="str">
        <f t="shared" si="73"/>
        <v>COVID Period</v>
      </c>
    </row>
    <row r="2315" spans="1:13" x14ac:dyDescent="0.25">
      <c r="A2315" s="2">
        <v>44711</v>
      </c>
      <c r="B2315" t="s">
        <v>45</v>
      </c>
      <c r="C2315">
        <v>0</v>
      </c>
      <c r="D2315" s="3">
        <v>15.16</v>
      </c>
      <c r="E2315" s="3">
        <v>0</v>
      </c>
      <c r="F2315">
        <v>3</v>
      </c>
      <c r="G2315">
        <v>3</v>
      </c>
      <c r="H2315" s="4">
        <v>2.5</v>
      </c>
      <c r="I2315" t="s">
        <v>33</v>
      </c>
      <c r="J2315" t="s">
        <v>33</v>
      </c>
      <c r="L2315">
        <f t="shared" si="72"/>
        <v>2022</v>
      </c>
      <c r="M2315" t="str">
        <f t="shared" si="73"/>
        <v>COVID Period</v>
      </c>
    </row>
    <row r="2316" spans="1:13" x14ac:dyDescent="0.25">
      <c r="A2316" s="2">
        <v>44718</v>
      </c>
      <c r="B2316" t="s">
        <v>32</v>
      </c>
      <c r="C2316">
        <v>17</v>
      </c>
      <c r="D2316" s="3">
        <v>6.91</v>
      </c>
      <c r="E2316" s="3">
        <v>117.47</v>
      </c>
      <c r="F2316">
        <v>23</v>
      </c>
      <c r="G2316">
        <v>10</v>
      </c>
      <c r="H2316" s="4">
        <v>0.6</v>
      </c>
      <c r="I2316" t="s">
        <v>33</v>
      </c>
      <c r="J2316" t="s">
        <v>33</v>
      </c>
      <c r="L2316">
        <f t="shared" si="72"/>
        <v>2022</v>
      </c>
      <c r="M2316" t="str">
        <f t="shared" si="73"/>
        <v>COVID Period</v>
      </c>
    </row>
    <row r="2317" spans="1:13" x14ac:dyDescent="0.25">
      <c r="A2317" s="2">
        <v>44718</v>
      </c>
      <c r="B2317" t="s">
        <v>34</v>
      </c>
      <c r="C2317">
        <v>10</v>
      </c>
      <c r="D2317" s="3">
        <v>7.12</v>
      </c>
      <c r="E2317" s="3">
        <v>71.2</v>
      </c>
      <c r="F2317">
        <v>16</v>
      </c>
      <c r="G2317">
        <v>6</v>
      </c>
      <c r="H2317" s="4">
        <v>1.3</v>
      </c>
      <c r="I2317" t="s">
        <v>33</v>
      </c>
      <c r="J2317" t="s">
        <v>33</v>
      </c>
      <c r="L2317">
        <f t="shared" si="72"/>
        <v>2022</v>
      </c>
      <c r="M2317" t="str">
        <f t="shared" si="73"/>
        <v>COVID Period</v>
      </c>
    </row>
    <row r="2318" spans="1:13" x14ac:dyDescent="0.25">
      <c r="A2318" s="2">
        <v>44718</v>
      </c>
      <c r="B2318" t="s">
        <v>35</v>
      </c>
      <c r="C2318">
        <v>6</v>
      </c>
      <c r="D2318" s="3">
        <v>5.77</v>
      </c>
      <c r="E2318" s="3">
        <v>34.619999999999997</v>
      </c>
      <c r="F2318">
        <v>7</v>
      </c>
      <c r="G2318">
        <v>1</v>
      </c>
      <c r="H2318" s="4">
        <v>2.5</v>
      </c>
      <c r="I2318" t="s">
        <v>33</v>
      </c>
      <c r="J2318" t="s">
        <v>33</v>
      </c>
      <c r="L2318">
        <f t="shared" si="72"/>
        <v>2022</v>
      </c>
      <c r="M2318" t="str">
        <f t="shared" si="73"/>
        <v>COVID Period</v>
      </c>
    </row>
    <row r="2319" spans="1:13" x14ac:dyDescent="0.25">
      <c r="A2319" s="2">
        <v>44718</v>
      </c>
      <c r="B2319" t="s">
        <v>36</v>
      </c>
      <c r="C2319">
        <v>9</v>
      </c>
      <c r="D2319" s="3">
        <v>6</v>
      </c>
      <c r="E2319" s="3">
        <v>54</v>
      </c>
      <c r="F2319">
        <v>15</v>
      </c>
      <c r="G2319">
        <v>7</v>
      </c>
      <c r="H2319" s="4">
        <v>2.2000000000000002</v>
      </c>
      <c r="I2319" t="s">
        <v>33</v>
      </c>
      <c r="J2319" t="s">
        <v>33</v>
      </c>
      <c r="L2319">
        <f t="shared" si="72"/>
        <v>2022</v>
      </c>
      <c r="M2319" t="str">
        <f t="shared" si="73"/>
        <v>COVID Period</v>
      </c>
    </row>
    <row r="2320" spans="1:13" x14ac:dyDescent="0.25">
      <c r="A2320" s="2">
        <v>44718</v>
      </c>
      <c r="B2320" t="s">
        <v>37</v>
      </c>
      <c r="C2320">
        <v>20</v>
      </c>
      <c r="D2320" s="3">
        <v>3.14</v>
      </c>
      <c r="E2320" s="3">
        <v>62.8</v>
      </c>
      <c r="F2320">
        <v>24</v>
      </c>
      <c r="G2320">
        <v>6</v>
      </c>
      <c r="H2320" s="4">
        <v>1.3</v>
      </c>
      <c r="I2320" t="s">
        <v>33</v>
      </c>
      <c r="J2320" t="s">
        <v>33</v>
      </c>
      <c r="L2320">
        <f t="shared" si="72"/>
        <v>2022</v>
      </c>
      <c r="M2320" t="str">
        <f t="shared" si="73"/>
        <v>COVID Period</v>
      </c>
    </row>
    <row r="2321" spans="1:13" x14ac:dyDescent="0.25">
      <c r="A2321" s="2">
        <v>44718</v>
      </c>
      <c r="B2321" t="s">
        <v>38</v>
      </c>
      <c r="C2321">
        <v>11</v>
      </c>
      <c r="D2321" s="3">
        <v>8.81</v>
      </c>
      <c r="E2321" s="3">
        <v>96.91</v>
      </c>
      <c r="F2321">
        <v>18</v>
      </c>
      <c r="G2321">
        <v>9</v>
      </c>
      <c r="H2321" s="4">
        <v>1.4</v>
      </c>
      <c r="I2321" t="s">
        <v>33</v>
      </c>
      <c r="J2321" t="s">
        <v>33</v>
      </c>
      <c r="L2321">
        <f t="shared" si="72"/>
        <v>2022</v>
      </c>
      <c r="M2321" t="str">
        <f t="shared" si="73"/>
        <v>COVID Period</v>
      </c>
    </row>
    <row r="2322" spans="1:13" x14ac:dyDescent="0.25">
      <c r="A2322" s="2">
        <v>44718</v>
      </c>
      <c r="B2322" t="s">
        <v>39</v>
      </c>
      <c r="C2322">
        <v>16</v>
      </c>
      <c r="D2322" s="3">
        <v>11.25</v>
      </c>
      <c r="E2322" s="3">
        <v>180</v>
      </c>
      <c r="F2322">
        <v>20</v>
      </c>
      <c r="G2322">
        <v>4</v>
      </c>
      <c r="H2322" s="4">
        <v>1.9</v>
      </c>
      <c r="I2322" t="s">
        <v>33</v>
      </c>
      <c r="J2322" t="s">
        <v>33</v>
      </c>
      <c r="L2322">
        <f t="shared" si="72"/>
        <v>2022</v>
      </c>
      <c r="M2322" t="str">
        <f t="shared" si="73"/>
        <v>COVID Period</v>
      </c>
    </row>
    <row r="2323" spans="1:13" x14ac:dyDescent="0.25">
      <c r="A2323" s="2">
        <v>44718</v>
      </c>
      <c r="B2323" t="s">
        <v>40</v>
      </c>
      <c r="C2323">
        <v>26</v>
      </c>
      <c r="D2323" s="3">
        <v>0.65</v>
      </c>
      <c r="E2323" s="3">
        <v>16.899999999999999</v>
      </c>
      <c r="F2323">
        <v>37</v>
      </c>
      <c r="G2323">
        <v>16</v>
      </c>
      <c r="H2323" s="4">
        <v>2.7</v>
      </c>
      <c r="I2323" t="s">
        <v>46</v>
      </c>
      <c r="J2323" t="s">
        <v>33</v>
      </c>
      <c r="K2323" t="s">
        <v>47</v>
      </c>
      <c r="L2323">
        <f t="shared" si="72"/>
        <v>2022</v>
      </c>
      <c r="M2323" t="str">
        <f t="shared" si="73"/>
        <v>COVID Period</v>
      </c>
    </row>
    <row r="2324" spans="1:13" x14ac:dyDescent="0.25">
      <c r="A2324" s="2">
        <v>44718</v>
      </c>
      <c r="B2324" t="s">
        <v>41</v>
      </c>
      <c r="C2324">
        <v>14</v>
      </c>
      <c r="D2324" s="3">
        <v>1.31</v>
      </c>
      <c r="E2324" s="3">
        <v>18.34</v>
      </c>
      <c r="F2324">
        <v>15</v>
      </c>
      <c r="G2324">
        <v>3</v>
      </c>
      <c r="H2324" s="4">
        <v>4.2</v>
      </c>
      <c r="I2324" t="s">
        <v>46</v>
      </c>
      <c r="J2324" t="s">
        <v>33</v>
      </c>
      <c r="K2324" t="s">
        <v>47</v>
      </c>
      <c r="L2324">
        <f t="shared" si="72"/>
        <v>2022</v>
      </c>
      <c r="M2324" t="str">
        <f t="shared" si="73"/>
        <v>COVID Period</v>
      </c>
    </row>
    <row r="2325" spans="1:13" x14ac:dyDescent="0.25">
      <c r="A2325" s="2">
        <v>44718</v>
      </c>
      <c r="B2325" t="s">
        <v>42</v>
      </c>
      <c r="C2325">
        <v>21</v>
      </c>
      <c r="D2325" s="3">
        <v>4.24</v>
      </c>
      <c r="E2325" s="3">
        <v>89.04</v>
      </c>
      <c r="F2325">
        <v>24</v>
      </c>
      <c r="G2325">
        <v>4</v>
      </c>
      <c r="H2325" s="4">
        <v>3.7</v>
      </c>
      <c r="I2325" t="s">
        <v>46</v>
      </c>
      <c r="J2325" t="s">
        <v>33</v>
      </c>
      <c r="K2325" t="s">
        <v>47</v>
      </c>
      <c r="L2325">
        <f t="shared" si="72"/>
        <v>2022</v>
      </c>
      <c r="M2325" t="str">
        <f t="shared" si="73"/>
        <v>COVID Period</v>
      </c>
    </row>
    <row r="2326" spans="1:13" x14ac:dyDescent="0.25">
      <c r="A2326" s="2">
        <v>44718</v>
      </c>
      <c r="B2326" t="s">
        <v>43</v>
      </c>
      <c r="C2326">
        <v>14</v>
      </c>
      <c r="D2326" s="3">
        <v>5.54</v>
      </c>
      <c r="E2326" s="3">
        <v>77.56</v>
      </c>
      <c r="F2326">
        <v>18</v>
      </c>
      <c r="G2326">
        <v>4</v>
      </c>
      <c r="H2326" s="4">
        <v>3.2</v>
      </c>
      <c r="I2326" t="s">
        <v>46</v>
      </c>
      <c r="J2326" t="s">
        <v>33</v>
      </c>
      <c r="L2326">
        <f t="shared" si="72"/>
        <v>2022</v>
      </c>
      <c r="M2326" t="str">
        <f t="shared" si="73"/>
        <v>COVID Period</v>
      </c>
    </row>
    <row r="2327" spans="1:13" x14ac:dyDescent="0.25">
      <c r="A2327" s="2">
        <v>44718</v>
      </c>
      <c r="B2327" t="s">
        <v>44</v>
      </c>
      <c r="C2327">
        <v>0</v>
      </c>
      <c r="D2327" s="3">
        <v>5.0199999999999996</v>
      </c>
      <c r="E2327" s="3">
        <v>0</v>
      </c>
      <c r="F2327">
        <v>3</v>
      </c>
      <c r="G2327">
        <v>3</v>
      </c>
      <c r="H2327" s="4">
        <v>2.1</v>
      </c>
      <c r="I2327" t="s">
        <v>46</v>
      </c>
      <c r="J2327" t="s">
        <v>33</v>
      </c>
      <c r="K2327" t="s">
        <v>47</v>
      </c>
      <c r="L2327">
        <f t="shared" si="72"/>
        <v>2022</v>
      </c>
      <c r="M2327" t="str">
        <f t="shared" si="73"/>
        <v>COVID Period</v>
      </c>
    </row>
    <row r="2328" spans="1:13" x14ac:dyDescent="0.25">
      <c r="A2328" s="2">
        <v>44718</v>
      </c>
      <c r="B2328" t="s">
        <v>45</v>
      </c>
      <c r="C2328">
        <v>0</v>
      </c>
      <c r="D2328" s="3">
        <v>14.63</v>
      </c>
      <c r="E2328" s="3">
        <v>0</v>
      </c>
      <c r="F2328">
        <v>3</v>
      </c>
      <c r="G2328">
        <v>3</v>
      </c>
      <c r="H2328" s="4">
        <v>1.3</v>
      </c>
      <c r="I2328" t="s">
        <v>33</v>
      </c>
      <c r="J2328" t="s">
        <v>33</v>
      </c>
      <c r="L2328">
        <f t="shared" si="72"/>
        <v>2022</v>
      </c>
      <c r="M2328" t="str">
        <f t="shared" si="73"/>
        <v>COVID Period</v>
      </c>
    </row>
    <row r="2329" spans="1:13" x14ac:dyDescent="0.25">
      <c r="A2329" s="2">
        <v>44725</v>
      </c>
      <c r="B2329" t="s">
        <v>32</v>
      </c>
      <c r="C2329">
        <v>14</v>
      </c>
      <c r="D2329" s="3">
        <v>6.98</v>
      </c>
      <c r="E2329" s="3">
        <v>97.72</v>
      </c>
      <c r="F2329">
        <v>22</v>
      </c>
      <c r="G2329">
        <v>11</v>
      </c>
      <c r="H2329" s="4">
        <v>1.8</v>
      </c>
      <c r="I2329" t="s">
        <v>33</v>
      </c>
      <c r="J2329" t="s">
        <v>33</v>
      </c>
      <c r="L2329">
        <f t="shared" si="72"/>
        <v>2022</v>
      </c>
      <c r="M2329" t="str">
        <f t="shared" si="73"/>
        <v>COVID Period</v>
      </c>
    </row>
    <row r="2330" spans="1:13" x14ac:dyDescent="0.25">
      <c r="A2330" s="2">
        <v>44725</v>
      </c>
      <c r="B2330" t="s">
        <v>34</v>
      </c>
      <c r="C2330">
        <v>14</v>
      </c>
      <c r="D2330" s="3">
        <v>7.38</v>
      </c>
      <c r="E2330" s="3">
        <v>103.32</v>
      </c>
      <c r="F2330">
        <v>19</v>
      </c>
      <c r="G2330">
        <v>6</v>
      </c>
      <c r="H2330" s="4">
        <v>2.2999999999999998</v>
      </c>
      <c r="I2330" t="s">
        <v>33</v>
      </c>
      <c r="J2330" t="s">
        <v>33</v>
      </c>
      <c r="L2330">
        <f t="shared" si="72"/>
        <v>2022</v>
      </c>
      <c r="M2330" t="str">
        <f t="shared" si="73"/>
        <v>COVID Period</v>
      </c>
    </row>
    <row r="2331" spans="1:13" x14ac:dyDescent="0.25">
      <c r="A2331" s="2">
        <v>44725</v>
      </c>
      <c r="B2331" t="s">
        <v>35</v>
      </c>
      <c r="C2331">
        <v>7</v>
      </c>
      <c r="D2331" s="3">
        <v>5.98</v>
      </c>
      <c r="E2331" s="3">
        <v>41.86</v>
      </c>
      <c r="F2331">
        <v>9</v>
      </c>
      <c r="G2331">
        <v>3</v>
      </c>
      <c r="H2331" s="4">
        <v>2.4</v>
      </c>
      <c r="I2331" t="s">
        <v>33</v>
      </c>
      <c r="J2331" t="s">
        <v>33</v>
      </c>
      <c r="L2331">
        <f t="shared" si="72"/>
        <v>2022</v>
      </c>
      <c r="M2331" t="str">
        <f t="shared" si="73"/>
        <v>COVID Period</v>
      </c>
    </row>
    <row r="2332" spans="1:13" x14ac:dyDescent="0.25">
      <c r="A2332" s="2">
        <v>44725</v>
      </c>
      <c r="B2332" t="s">
        <v>36</v>
      </c>
      <c r="C2332">
        <v>10</v>
      </c>
      <c r="D2332" s="3">
        <v>6.1</v>
      </c>
      <c r="E2332" s="3">
        <v>61</v>
      </c>
      <c r="F2332">
        <v>12</v>
      </c>
      <c r="G2332">
        <v>4</v>
      </c>
      <c r="H2332" s="4">
        <v>1.3</v>
      </c>
      <c r="I2332" t="s">
        <v>33</v>
      </c>
      <c r="J2332" t="s">
        <v>33</v>
      </c>
      <c r="L2332">
        <f t="shared" si="72"/>
        <v>2022</v>
      </c>
      <c r="M2332" t="str">
        <f t="shared" si="73"/>
        <v>COVID Period</v>
      </c>
    </row>
    <row r="2333" spans="1:13" x14ac:dyDescent="0.25">
      <c r="A2333" s="2">
        <v>44725</v>
      </c>
      <c r="B2333" t="s">
        <v>37</v>
      </c>
      <c r="C2333">
        <v>12</v>
      </c>
      <c r="D2333" s="3">
        <v>3.08</v>
      </c>
      <c r="E2333" s="3">
        <v>36.96</v>
      </c>
      <c r="F2333">
        <v>19</v>
      </c>
      <c r="G2333">
        <v>9</v>
      </c>
      <c r="H2333" s="4">
        <v>0.4</v>
      </c>
      <c r="I2333" t="s">
        <v>33</v>
      </c>
      <c r="J2333" t="s">
        <v>33</v>
      </c>
      <c r="L2333">
        <f t="shared" si="72"/>
        <v>2022</v>
      </c>
      <c r="M2333" t="str">
        <f t="shared" si="73"/>
        <v>COVID Period</v>
      </c>
    </row>
    <row r="2334" spans="1:13" x14ac:dyDescent="0.25">
      <c r="A2334" s="2">
        <v>44725</v>
      </c>
      <c r="B2334" t="s">
        <v>38</v>
      </c>
      <c r="C2334">
        <v>10</v>
      </c>
      <c r="D2334" s="3">
        <v>8.7899999999999991</v>
      </c>
      <c r="E2334" s="3">
        <v>87.9</v>
      </c>
      <c r="F2334">
        <v>13</v>
      </c>
      <c r="G2334">
        <v>4</v>
      </c>
      <c r="H2334" s="4">
        <v>0.8</v>
      </c>
      <c r="I2334" t="s">
        <v>33</v>
      </c>
      <c r="J2334" t="s">
        <v>33</v>
      </c>
      <c r="L2334">
        <f t="shared" si="72"/>
        <v>2022</v>
      </c>
      <c r="M2334" t="str">
        <f t="shared" si="73"/>
        <v>COVID Period</v>
      </c>
    </row>
    <row r="2335" spans="1:13" x14ac:dyDescent="0.25">
      <c r="A2335" s="2">
        <v>44725</v>
      </c>
      <c r="B2335" t="s">
        <v>39</v>
      </c>
      <c r="C2335">
        <v>16</v>
      </c>
      <c r="D2335" s="3">
        <v>12.02</v>
      </c>
      <c r="E2335" s="3">
        <v>192.32</v>
      </c>
      <c r="F2335">
        <v>21</v>
      </c>
      <c r="G2335">
        <v>5</v>
      </c>
      <c r="H2335" s="4">
        <v>1.4</v>
      </c>
      <c r="I2335" t="s">
        <v>33</v>
      </c>
      <c r="J2335" t="s">
        <v>33</v>
      </c>
      <c r="L2335">
        <f t="shared" si="72"/>
        <v>2022</v>
      </c>
      <c r="M2335" t="str">
        <f t="shared" si="73"/>
        <v>COVID Period</v>
      </c>
    </row>
    <row r="2336" spans="1:13" x14ac:dyDescent="0.25">
      <c r="A2336" s="2">
        <v>44725</v>
      </c>
      <c r="B2336" t="s">
        <v>40</v>
      </c>
      <c r="C2336">
        <v>33</v>
      </c>
      <c r="D2336" s="3">
        <v>0.63</v>
      </c>
      <c r="E2336" s="3">
        <v>20.79</v>
      </c>
      <c r="F2336">
        <v>34</v>
      </c>
      <c r="G2336">
        <v>5</v>
      </c>
      <c r="H2336" s="4">
        <v>0.3</v>
      </c>
      <c r="I2336" t="s">
        <v>46</v>
      </c>
      <c r="J2336" t="s">
        <v>33</v>
      </c>
      <c r="K2336" t="s">
        <v>47</v>
      </c>
      <c r="L2336">
        <f t="shared" si="72"/>
        <v>2022</v>
      </c>
      <c r="M2336" t="str">
        <f t="shared" si="73"/>
        <v>COVID Period</v>
      </c>
    </row>
    <row r="2337" spans="1:13" x14ac:dyDescent="0.25">
      <c r="A2337" s="2">
        <v>44725</v>
      </c>
      <c r="B2337" t="s">
        <v>41</v>
      </c>
      <c r="C2337">
        <v>17</v>
      </c>
      <c r="D2337" s="3">
        <v>1.35</v>
      </c>
      <c r="E2337" s="3">
        <v>22.95</v>
      </c>
      <c r="F2337">
        <v>23</v>
      </c>
      <c r="G2337">
        <v>8</v>
      </c>
      <c r="H2337" s="4">
        <v>3.6</v>
      </c>
      <c r="I2337" t="s">
        <v>46</v>
      </c>
      <c r="J2337" t="s">
        <v>33</v>
      </c>
      <c r="K2337" t="s">
        <v>47</v>
      </c>
      <c r="L2337">
        <f t="shared" si="72"/>
        <v>2022</v>
      </c>
      <c r="M2337" t="str">
        <f t="shared" si="73"/>
        <v>COVID Period</v>
      </c>
    </row>
    <row r="2338" spans="1:13" x14ac:dyDescent="0.25">
      <c r="A2338" s="2">
        <v>44725</v>
      </c>
      <c r="B2338" t="s">
        <v>42</v>
      </c>
      <c r="C2338">
        <v>21</v>
      </c>
      <c r="D2338" s="3">
        <v>4.16</v>
      </c>
      <c r="E2338" s="3">
        <v>87.36</v>
      </c>
      <c r="F2338">
        <v>28</v>
      </c>
      <c r="G2338">
        <v>9</v>
      </c>
      <c r="H2338" s="4">
        <v>4.0999999999999996</v>
      </c>
      <c r="I2338" t="s">
        <v>46</v>
      </c>
      <c r="J2338" t="s">
        <v>33</v>
      </c>
      <c r="K2338" t="s">
        <v>47</v>
      </c>
      <c r="L2338">
        <f t="shared" si="72"/>
        <v>2022</v>
      </c>
      <c r="M2338" t="str">
        <f t="shared" si="73"/>
        <v>COVID Period</v>
      </c>
    </row>
    <row r="2339" spans="1:13" x14ac:dyDescent="0.25">
      <c r="A2339" s="2">
        <v>44725</v>
      </c>
      <c r="B2339" t="s">
        <v>43</v>
      </c>
      <c r="C2339">
        <v>11</v>
      </c>
      <c r="D2339" s="3">
        <v>5.48</v>
      </c>
      <c r="E2339" s="3">
        <v>60.28</v>
      </c>
      <c r="F2339">
        <v>12</v>
      </c>
      <c r="G2339">
        <v>1</v>
      </c>
      <c r="H2339" s="4">
        <v>1.5</v>
      </c>
      <c r="I2339" t="s">
        <v>46</v>
      </c>
      <c r="J2339" t="s">
        <v>46</v>
      </c>
      <c r="L2339">
        <f t="shared" si="72"/>
        <v>2022</v>
      </c>
      <c r="M2339" t="str">
        <f t="shared" si="73"/>
        <v>COVID Period</v>
      </c>
    </row>
    <row r="2340" spans="1:13" x14ac:dyDescent="0.25">
      <c r="A2340" s="2">
        <v>44725</v>
      </c>
      <c r="B2340" t="s">
        <v>44</v>
      </c>
      <c r="C2340">
        <v>0</v>
      </c>
      <c r="D2340" s="3">
        <v>4.6399999999999997</v>
      </c>
      <c r="E2340" s="3">
        <v>0</v>
      </c>
      <c r="F2340">
        <v>3</v>
      </c>
      <c r="G2340">
        <v>3</v>
      </c>
      <c r="H2340" s="4">
        <v>1.7</v>
      </c>
      <c r="I2340" t="s">
        <v>46</v>
      </c>
      <c r="J2340" t="s">
        <v>33</v>
      </c>
      <c r="K2340" t="s">
        <v>47</v>
      </c>
      <c r="L2340">
        <f t="shared" si="72"/>
        <v>2022</v>
      </c>
      <c r="M2340" t="str">
        <f t="shared" si="73"/>
        <v>COVID Period</v>
      </c>
    </row>
    <row r="2341" spans="1:13" x14ac:dyDescent="0.25">
      <c r="A2341" s="2">
        <v>44725</v>
      </c>
      <c r="B2341" t="s">
        <v>45</v>
      </c>
      <c r="C2341">
        <v>0</v>
      </c>
      <c r="D2341" s="3">
        <v>15.1</v>
      </c>
      <c r="E2341" s="3">
        <v>0</v>
      </c>
      <c r="F2341">
        <v>3</v>
      </c>
      <c r="G2341">
        <v>3</v>
      </c>
      <c r="H2341" s="4">
        <v>2</v>
      </c>
      <c r="I2341" t="s">
        <v>33</v>
      </c>
      <c r="J2341" t="s">
        <v>33</v>
      </c>
      <c r="L2341">
        <f t="shared" si="72"/>
        <v>2022</v>
      </c>
      <c r="M2341" t="str">
        <f t="shared" si="73"/>
        <v>COVID Period</v>
      </c>
    </row>
    <row r="2342" spans="1:13" x14ac:dyDescent="0.25">
      <c r="A2342" s="2">
        <v>44732</v>
      </c>
      <c r="B2342" t="s">
        <v>32</v>
      </c>
      <c r="C2342">
        <v>15</v>
      </c>
      <c r="D2342" s="3">
        <v>6.63</v>
      </c>
      <c r="E2342" s="3">
        <v>99.45</v>
      </c>
      <c r="F2342">
        <v>17</v>
      </c>
      <c r="G2342">
        <v>3</v>
      </c>
      <c r="H2342" s="4">
        <v>1.6</v>
      </c>
      <c r="I2342" t="s">
        <v>33</v>
      </c>
      <c r="J2342" t="s">
        <v>33</v>
      </c>
      <c r="L2342">
        <f t="shared" si="72"/>
        <v>2022</v>
      </c>
      <c r="M2342" t="str">
        <f t="shared" si="73"/>
        <v>COVID Period</v>
      </c>
    </row>
    <row r="2343" spans="1:13" x14ac:dyDescent="0.25">
      <c r="A2343" s="2">
        <v>44732</v>
      </c>
      <c r="B2343" t="s">
        <v>34</v>
      </c>
      <c r="C2343">
        <v>13</v>
      </c>
      <c r="D2343" s="3">
        <v>7.32</v>
      </c>
      <c r="E2343" s="3">
        <v>95.16</v>
      </c>
      <c r="F2343">
        <v>20</v>
      </c>
      <c r="G2343">
        <v>10</v>
      </c>
      <c r="H2343" s="4">
        <v>1</v>
      </c>
      <c r="I2343" t="s">
        <v>33</v>
      </c>
      <c r="J2343" t="s">
        <v>33</v>
      </c>
      <c r="L2343">
        <f t="shared" si="72"/>
        <v>2022</v>
      </c>
      <c r="M2343" t="str">
        <f t="shared" si="73"/>
        <v>COVID Period</v>
      </c>
    </row>
    <row r="2344" spans="1:13" x14ac:dyDescent="0.25">
      <c r="A2344" s="2">
        <v>44732</v>
      </c>
      <c r="B2344" t="s">
        <v>35</v>
      </c>
      <c r="C2344">
        <v>7</v>
      </c>
      <c r="D2344" s="3">
        <v>6.19</v>
      </c>
      <c r="E2344" s="3">
        <v>43.33</v>
      </c>
      <c r="F2344">
        <v>11</v>
      </c>
      <c r="G2344">
        <v>4</v>
      </c>
      <c r="H2344" s="4">
        <v>1.2</v>
      </c>
      <c r="I2344" t="s">
        <v>33</v>
      </c>
      <c r="J2344" t="s">
        <v>33</v>
      </c>
      <c r="L2344">
        <f t="shared" si="72"/>
        <v>2022</v>
      </c>
      <c r="M2344" t="str">
        <f t="shared" si="73"/>
        <v>COVID Period</v>
      </c>
    </row>
    <row r="2345" spans="1:13" x14ac:dyDescent="0.25">
      <c r="A2345" s="2">
        <v>44732</v>
      </c>
      <c r="B2345" t="s">
        <v>36</v>
      </c>
      <c r="C2345">
        <v>10</v>
      </c>
      <c r="D2345" s="3">
        <v>6.47</v>
      </c>
      <c r="E2345" s="3">
        <v>64.7</v>
      </c>
      <c r="F2345">
        <v>11</v>
      </c>
      <c r="G2345">
        <v>3</v>
      </c>
      <c r="H2345" s="4">
        <v>1.8</v>
      </c>
      <c r="I2345" t="s">
        <v>33</v>
      </c>
      <c r="J2345" t="s">
        <v>33</v>
      </c>
      <c r="L2345">
        <f t="shared" si="72"/>
        <v>2022</v>
      </c>
      <c r="M2345" t="str">
        <f t="shared" si="73"/>
        <v>COVID Period</v>
      </c>
    </row>
    <row r="2346" spans="1:13" x14ac:dyDescent="0.25">
      <c r="A2346" s="2">
        <v>44732</v>
      </c>
      <c r="B2346" t="s">
        <v>37</v>
      </c>
      <c r="C2346">
        <v>24</v>
      </c>
      <c r="D2346" s="3">
        <v>3.1</v>
      </c>
      <c r="E2346" s="3">
        <v>74.400000000000006</v>
      </c>
      <c r="F2346">
        <v>34</v>
      </c>
      <c r="G2346">
        <v>10</v>
      </c>
      <c r="H2346" s="4">
        <v>1.7</v>
      </c>
      <c r="I2346" t="s">
        <v>33</v>
      </c>
      <c r="J2346" t="s">
        <v>33</v>
      </c>
      <c r="L2346">
        <f t="shared" si="72"/>
        <v>2022</v>
      </c>
      <c r="M2346" t="str">
        <f t="shared" si="73"/>
        <v>COVID Period</v>
      </c>
    </row>
    <row r="2347" spans="1:13" x14ac:dyDescent="0.25">
      <c r="A2347" s="2">
        <v>44732</v>
      </c>
      <c r="B2347" t="s">
        <v>38</v>
      </c>
      <c r="C2347">
        <v>14</v>
      </c>
      <c r="D2347" s="3">
        <v>8.18</v>
      </c>
      <c r="E2347" s="3">
        <v>114.52</v>
      </c>
      <c r="F2347">
        <v>16</v>
      </c>
      <c r="G2347">
        <v>4</v>
      </c>
      <c r="H2347" s="4">
        <v>1.2</v>
      </c>
      <c r="I2347" t="s">
        <v>33</v>
      </c>
      <c r="J2347" t="s">
        <v>33</v>
      </c>
      <c r="L2347">
        <f t="shared" si="72"/>
        <v>2022</v>
      </c>
      <c r="M2347" t="str">
        <f t="shared" si="73"/>
        <v>COVID Period</v>
      </c>
    </row>
    <row r="2348" spans="1:13" x14ac:dyDescent="0.25">
      <c r="A2348" s="2">
        <v>44732</v>
      </c>
      <c r="B2348" t="s">
        <v>39</v>
      </c>
      <c r="C2348">
        <v>19</v>
      </c>
      <c r="D2348" s="3">
        <v>11.57</v>
      </c>
      <c r="E2348" s="3">
        <v>219.83</v>
      </c>
      <c r="F2348">
        <v>25</v>
      </c>
      <c r="G2348">
        <v>9</v>
      </c>
      <c r="H2348" s="4">
        <v>0.9</v>
      </c>
      <c r="I2348" t="s">
        <v>33</v>
      </c>
      <c r="J2348" t="s">
        <v>33</v>
      </c>
      <c r="L2348">
        <f t="shared" si="72"/>
        <v>2022</v>
      </c>
      <c r="M2348" t="str">
        <f t="shared" si="73"/>
        <v>COVID Period</v>
      </c>
    </row>
    <row r="2349" spans="1:13" x14ac:dyDescent="0.25">
      <c r="A2349" s="2">
        <v>44732</v>
      </c>
      <c r="B2349" t="s">
        <v>40</v>
      </c>
      <c r="C2349">
        <v>23</v>
      </c>
      <c r="D2349" s="3">
        <v>0.66</v>
      </c>
      <c r="E2349" s="3">
        <v>15.18</v>
      </c>
      <c r="F2349">
        <v>36</v>
      </c>
      <c r="G2349">
        <v>14</v>
      </c>
      <c r="H2349" s="4">
        <v>2.4</v>
      </c>
      <c r="I2349" t="s">
        <v>46</v>
      </c>
      <c r="J2349" t="s">
        <v>33</v>
      </c>
      <c r="K2349" t="s">
        <v>47</v>
      </c>
      <c r="L2349">
        <f t="shared" si="72"/>
        <v>2022</v>
      </c>
      <c r="M2349" t="str">
        <f t="shared" si="73"/>
        <v>COVID Period</v>
      </c>
    </row>
    <row r="2350" spans="1:13" x14ac:dyDescent="0.25">
      <c r="A2350" s="2">
        <v>44732</v>
      </c>
      <c r="B2350" t="s">
        <v>41</v>
      </c>
      <c r="C2350">
        <v>21</v>
      </c>
      <c r="D2350" s="3">
        <v>1.35</v>
      </c>
      <c r="E2350" s="3">
        <v>28.35</v>
      </c>
      <c r="F2350">
        <v>23</v>
      </c>
      <c r="G2350">
        <v>2</v>
      </c>
      <c r="H2350" s="4">
        <v>2.2999999999999998</v>
      </c>
      <c r="I2350" t="s">
        <v>46</v>
      </c>
      <c r="J2350" t="s">
        <v>46</v>
      </c>
      <c r="K2350" t="s">
        <v>47</v>
      </c>
      <c r="L2350">
        <f t="shared" si="72"/>
        <v>2022</v>
      </c>
      <c r="M2350" t="str">
        <f t="shared" si="73"/>
        <v>COVID Period</v>
      </c>
    </row>
    <row r="2351" spans="1:13" x14ac:dyDescent="0.25">
      <c r="A2351" s="2">
        <v>44732</v>
      </c>
      <c r="B2351" t="s">
        <v>42</v>
      </c>
      <c r="C2351">
        <v>14</v>
      </c>
      <c r="D2351" s="3">
        <v>4.3499999999999996</v>
      </c>
      <c r="E2351" s="3">
        <v>60.9</v>
      </c>
      <c r="F2351">
        <v>22</v>
      </c>
      <c r="G2351">
        <v>9</v>
      </c>
      <c r="H2351" s="4">
        <v>2</v>
      </c>
      <c r="I2351" t="s">
        <v>46</v>
      </c>
      <c r="J2351" t="s">
        <v>33</v>
      </c>
      <c r="K2351" t="s">
        <v>47</v>
      </c>
      <c r="L2351">
        <f t="shared" si="72"/>
        <v>2022</v>
      </c>
      <c r="M2351" t="str">
        <f t="shared" si="73"/>
        <v>COVID Period</v>
      </c>
    </row>
    <row r="2352" spans="1:13" x14ac:dyDescent="0.25">
      <c r="A2352" s="2">
        <v>44732</v>
      </c>
      <c r="B2352" t="s">
        <v>43</v>
      </c>
      <c r="C2352">
        <v>15</v>
      </c>
      <c r="D2352" s="3">
        <v>5.75</v>
      </c>
      <c r="E2352" s="3">
        <v>86.25</v>
      </c>
      <c r="F2352">
        <v>23</v>
      </c>
      <c r="G2352">
        <v>8</v>
      </c>
      <c r="H2352" s="4">
        <v>2.7</v>
      </c>
      <c r="I2352" t="s">
        <v>46</v>
      </c>
      <c r="J2352" t="s">
        <v>33</v>
      </c>
      <c r="L2352">
        <f t="shared" si="72"/>
        <v>2022</v>
      </c>
      <c r="M2352" t="str">
        <f t="shared" si="73"/>
        <v>COVID Period</v>
      </c>
    </row>
    <row r="2353" spans="1:13" x14ac:dyDescent="0.25">
      <c r="A2353" s="2">
        <v>44732</v>
      </c>
      <c r="B2353" t="s">
        <v>44</v>
      </c>
      <c r="C2353">
        <v>1</v>
      </c>
      <c r="D2353" s="3">
        <v>5</v>
      </c>
      <c r="E2353" s="3">
        <v>5</v>
      </c>
      <c r="F2353">
        <v>3</v>
      </c>
      <c r="G2353">
        <v>2</v>
      </c>
      <c r="H2353" s="4">
        <v>2.2000000000000002</v>
      </c>
      <c r="I2353" t="s">
        <v>46</v>
      </c>
      <c r="J2353" t="s">
        <v>46</v>
      </c>
      <c r="K2353" t="s">
        <v>47</v>
      </c>
      <c r="L2353">
        <f t="shared" si="72"/>
        <v>2022</v>
      </c>
      <c r="M2353" t="str">
        <f t="shared" si="73"/>
        <v>COVID Period</v>
      </c>
    </row>
    <row r="2354" spans="1:13" x14ac:dyDescent="0.25">
      <c r="A2354" s="2">
        <v>44732</v>
      </c>
      <c r="B2354" t="s">
        <v>45</v>
      </c>
      <c r="C2354">
        <v>0</v>
      </c>
      <c r="D2354" s="3">
        <v>14.65</v>
      </c>
      <c r="E2354" s="3">
        <v>0</v>
      </c>
      <c r="F2354">
        <v>3</v>
      </c>
      <c r="G2354">
        <v>3</v>
      </c>
      <c r="H2354" s="4">
        <v>1.9</v>
      </c>
      <c r="I2354" t="s">
        <v>33</v>
      </c>
      <c r="J2354" t="s">
        <v>33</v>
      </c>
      <c r="L2354">
        <f t="shared" si="72"/>
        <v>2022</v>
      </c>
      <c r="M2354" t="str">
        <f t="shared" si="73"/>
        <v>COVID Period</v>
      </c>
    </row>
    <row r="2355" spans="1:13" x14ac:dyDescent="0.25">
      <c r="A2355" s="2">
        <v>44739</v>
      </c>
      <c r="B2355" t="s">
        <v>32</v>
      </c>
      <c r="C2355">
        <v>16</v>
      </c>
      <c r="D2355" s="3">
        <v>6.92</v>
      </c>
      <c r="E2355" s="3">
        <v>110.72</v>
      </c>
      <c r="F2355">
        <v>24</v>
      </c>
      <c r="G2355">
        <v>10</v>
      </c>
      <c r="H2355" s="4">
        <v>1.1000000000000001</v>
      </c>
      <c r="I2355" t="s">
        <v>33</v>
      </c>
      <c r="J2355" t="s">
        <v>33</v>
      </c>
      <c r="L2355">
        <f t="shared" si="72"/>
        <v>2022</v>
      </c>
      <c r="M2355" t="str">
        <f t="shared" si="73"/>
        <v>COVID Period</v>
      </c>
    </row>
    <row r="2356" spans="1:13" x14ac:dyDescent="0.25">
      <c r="A2356" s="2">
        <v>44739</v>
      </c>
      <c r="B2356" t="s">
        <v>34</v>
      </c>
      <c r="C2356">
        <v>17</v>
      </c>
      <c r="D2356" s="3">
        <v>7.06</v>
      </c>
      <c r="E2356" s="3">
        <v>120.02</v>
      </c>
      <c r="F2356">
        <v>26</v>
      </c>
      <c r="G2356">
        <v>11</v>
      </c>
      <c r="H2356" s="4">
        <v>0.3</v>
      </c>
      <c r="I2356" t="s">
        <v>33</v>
      </c>
      <c r="J2356" t="s">
        <v>33</v>
      </c>
      <c r="L2356">
        <f t="shared" si="72"/>
        <v>2022</v>
      </c>
      <c r="M2356" t="str">
        <f t="shared" si="73"/>
        <v>COVID Period</v>
      </c>
    </row>
    <row r="2357" spans="1:13" x14ac:dyDescent="0.25">
      <c r="A2357" s="2">
        <v>44739</v>
      </c>
      <c r="B2357" t="s">
        <v>35</v>
      </c>
      <c r="C2357">
        <v>10</v>
      </c>
      <c r="D2357" s="3">
        <v>5.71</v>
      </c>
      <c r="E2357" s="3">
        <v>57.1</v>
      </c>
      <c r="F2357">
        <v>13</v>
      </c>
      <c r="G2357">
        <v>5</v>
      </c>
      <c r="H2357" s="4">
        <v>2.7</v>
      </c>
      <c r="I2357" t="s">
        <v>33</v>
      </c>
      <c r="J2357" t="s">
        <v>33</v>
      </c>
      <c r="L2357">
        <f t="shared" si="72"/>
        <v>2022</v>
      </c>
      <c r="M2357" t="str">
        <f t="shared" si="73"/>
        <v>COVID Period</v>
      </c>
    </row>
    <row r="2358" spans="1:13" x14ac:dyDescent="0.25">
      <c r="A2358" s="2">
        <v>44739</v>
      </c>
      <c r="B2358" t="s">
        <v>36</v>
      </c>
      <c r="C2358">
        <v>10</v>
      </c>
      <c r="D2358" s="3">
        <v>5.96</v>
      </c>
      <c r="E2358" s="3">
        <v>59.6</v>
      </c>
      <c r="F2358">
        <v>16</v>
      </c>
      <c r="G2358">
        <v>7</v>
      </c>
      <c r="H2358" s="4">
        <v>2</v>
      </c>
      <c r="I2358" t="s">
        <v>33</v>
      </c>
      <c r="J2358" t="s">
        <v>33</v>
      </c>
      <c r="L2358">
        <f t="shared" si="72"/>
        <v>2022</v>
      </c>
      <c r="M2358" t="str">
        <f t="shared" si="73"/>
        <v>COVID Period</v>
      </c>
    </row>
    <row r="2359" spans="1:13" x14ac:dyDescent="0.25">
      <c r="A2359" s="2">
        <v>44739</v>
      </c>
      <c r="B2359" t="s">
        <v>37</v>
      </c>
      <c r="C2359">
        <v>19</v>
      </c>
      <c r="D2359" s="3">
        <v>3.34</v>
      </c>
      <c r="E2359" s="3">
        <v>63.46</v>
      </c>
      <c r="F2359">
        <v>30</v>
      </c>
      <c r="G2359">
        <v>15</v>
      </c>
      <c r="H2359" s="4">
        <v>0.1</v>
      </c>
      <c r="I2359" t="s">
        <v>33</v>
      </c>
      <c r="J2359" t="s">
        <v>33</v>
      </c>
      <c r="L2359">
        <f t="shared" si="72"/>
        <v>2022</v>
      </c>
      <c r="M2359" t="str">
        <f t="shared" si="73"/>
        <v>COVID Period</v>
      </c>
    </row>
    <row r="2360" spans="1:13" x14ac:dyDescent="0.25">
      <c r="A2360" s="2">
        <v>44739</v>
      </c>
      <c r="B2360" t="s">
        <v>38</v>
      </c>
      <c r="C2360">
        <v>9</v>
      </c>
      <c r="D2360" s="3">
        <v>8.57</v>
      </c>
      <c r="E2360" s="3">
        <v>77.13</v>
      </c>
      <c r="F2360">
        <v>15</v>
      </c>
      <c r="G2360">
        <v>8</v>
      </c>
      <c r="H2360" s="4">
        <v>3.4</v>
      </c>
      <c r="I2360" t="s">
        <v>33</v>
      </c>
      <c r="J2360" t="s">
        <v>33</v>
      </c>
      <c r="L2360">
        <f t="shared" si="72"/>
        <v>2022</v>
      </c>
      <c r="M2360" t="str">
        <f t="shared" si="73"/>
        <v>COVID Period</v>
      </c>
    </row>
    <row r="2361" spans="1:13" x14ac:dyDescent="0.25">
      <c r="A2361" s="2">
        <v>44739</v>
      </c>
      <c r="B2361" t="s">
        <v>39</v>
      </c>
      <c r="C2361">
        <v>20</v>
      </c>
      <c r="D2361" s="3">
        <v>12.06</v>
      </c>
      <c r="E2361" s="3">
        <v>241.2</v>
      </c>
      <c r="F2361">
        <v>23</v>
      </c>
      <c r="G2361">
        <v>7</v>
      </c>
      <c r="H2361" s="4">
        <v>1.1000000000000001</v>
      </c>
      <c r="I2361" t="s">
        <v>33</v>
      </c>
      <c r="J2361" t="s">
        <v>33</v>
      </c>
      <c r="L2361">
        <f t="shared" si="72"/>
        <v>2022</v>
      </c>
      <c r="M2361" t="str">
        <f t="shared" si="73"/>
        <v>COVID Period</v>
      </c>
    </row>
    <row r="2362" spans="1:13" x14ac:dyDescent="0.25">
      <c r="A2362" s="2">
        <v>44739</v>
      </c>
      <c r="B2362" t="s">
        <v>40</v>
      </c>
      <c r="C2362">
        <v>26</v>
      </c>
      <c r="D2362" s="3">
        <v>0.64</v>
      </c>
      <c r="E2362" s="3">
        <v>16.64</v>
      </c>
      <c r="F2362">
        <v>37</v>
      </c>
      <c r="G2362">
        <v>17</v>
      </c>
      <c r="H2362" s="4">
        <v>1.8</v>
      </c>
      <c r="I2362" t="s">
        <v>46</v>
      </c>
      <c r="J2362" t="s">
        <v>33</v>
      </c>
      <c r="K2362" t="s">
        <v>47</v>
      </c>
      <c r="L2362">
        <f t="shared" si="72"/>
        <v>2022</v>
      </c>
      <c r="M2362" t="str">
        <f t="shared" si="73"/>
        <v>COVID Period</v>
      </c>
    </row>
    <row r="2363" spans="1:13" x14ac:dyDescent="0.25">
      <c r="A2363" s="2">
        <v>44739</v>
      </c>
      <c r="B2363" t="s">
        <v>41</v>
      </c>
      <c r="C2363">
        <v>18</v>
      </c>
      <c r="D2363" s="3">
        <v>1.38</v>
      </c>
      <c r="E2363" s="3">
        <v>24.84</v>
      </c>
      <c r="F2363">
        <v>24</v>
      </c>
      <c r="G2363">
        <v>10</v>
      </c>
      <c r="H2363" s="4">
        <v>1.8</v>
      </c>
      <c r="I2363" t="s">
        <v>46</v>
      </c>
      <c r="J2363" t="s">
        <v>33</v>
      </c>
      <c r="K2363" t="s">
        <v>47</v>
      </c>
      <c r="L2363">
        <f t="shared" si="72"/>
        <v>2022</v>
      </c>
      <c r="M2363" t="str">
        <f t="shared" si="73"/>
        <v>COVID Period</v>
      </c>
    </row>
    <row r="2364" spans="1:13" x14ac:dyDescent="0.25">
      <c r="A2364" s="2">
        <v>44739</v>
      </c>
      <c r="B2364" t="s">
        <v>42</v>
      </c>
      <c r="C2364">
        <v>17</v>
      </c>
      <c r="D2364" s="3">
        <v>4.05</v>
      </c>
      <c r="E2364" s="3">
        <v>68.849999999999994</v>
      </c>
      <c r="F2364">
        <v>18</v>
      </c>
      <c r="G2364">
        <v>4</v>
      </c>
      <c r="H2364" s="4">
        <v>2.4</v>
      </c>
      <c r="I2364" t="s">
        <v>46</v>
      </c>
      <c r="J2364" t="s">
        <v>33</v>
      </c>
      <c r="K2364" t="s">
        <v>47</v>
      </c>
      <c r="L2364">
        <f t="shared" si="72"/>
        <v>2022</v>
      </c>
      <c r="M2364" t="str">
        <f t="shared" si="73"/>
        <v>COVID Period</v>
      </c>
    </row>
    <row r="2365" spans="1:13" x14ac:dyDescent="0.25">
      <c r="A2365" s="2">
        <v>44739</v>
      </c>
      <c r="B2365" t="s">
        <v>43</v>
      </c>
      <c r="C2365">
        <v>11</v>
      </c>
      <c r="D2365" s="3">
        <v>5.57</v>
      </c>
      <c r="E2365" s="3">
        <v>61.27</v>
      </c>
      <c r="F2365">
        <v>16</v>
      </c>
      <c r="G2365">
        <v>5</v>
      </c>
      <c r="H2365" s="4">
        <v>3.3</v>
      </c>
      <c r="I2365" t="s">
        <v>46</v>
      </c>
      <c r="J2365" t="s">
        <v>33</v>
      </c>
      <c r="L2365">
        <f t="shared" si="72"/>
        <v>2022</v>
      </c>
      <c r="M2365" t="str">
        <f t="shared" si="73"/>
        <v>COVID Period</v>
      </c>
    </row>
    <row r="2366" spans="1:13" x14ac:dyDescent="0.25">
      <c r="A2366" s="2">
        <v>44739</v>
      </c>
      <c r="B2366" t="s">
        <v>44</v>
      </c>
      <c r="C2366">
        <v>0</v>
      </c>
      <c r="D2366" s="3">
        <v>4.63</v>
      </c>
      <c r="E2366" s="3">
        <v>0</v>
      </c>
      <c r="F2366">
        <v>3</v>
      </c>
      <c r="G2366">
        <v>3</v>
      </c>
      <c r="H2366" s="4">
        <v>0.7</v>
      </c>
      <c r="I2366" t="s">
        <v>46</v>
      </c>
      <c r="J2366" t="s">
        <v>33</v>
      </c>
      <c r="K2366" t="s">
        <v>47</v>
      </c>
      <c r="L2366">
        <f t="shared" si="72"/>
        <v>2022</v>
      </c>
      <c r="M2366" t="str">
        <f t="shared" si="73"/>
        <v>COVID Period</v>
      </c>
    </row>
    <row r="2367" spans="1:13" x14ac:dyDescent="0.25">
      <c r="A2367" s="2">
        <v>44739</v>
      </c>
      <c r="B2367" t="s">
        <v>45</v>
      </c>
      <c r="C2367">
        <v>0</v>
      </c>
      <c r="D2367" s="3">
        <v>14.59</v>
      </c>
      <c r="E2367" s="3">
        <v>0</v>
      </c>
      <c r="F2367">
        <v>3</v>
      </c>
      <c r="G2367">
        <v>3</v>
      </c>
      <c r="H2367" s="4">
        <v>1.5</v>
      </c>
      <c r="I2367" t="s">
        <v>33</v>
      </c>
      <c r="J2367" t="s">
        <v>33</v>
      </c>
      <c r="L2367">
        <f t="shared" si="72"/>
        <v>2022</v>
      </c>
      <c r="M2367" t="str">
        <f t="shared" si="73"/>
        <v>COVID Period</v>
      </c>
    </row>
    <row r="2368" spans="1:13" x14ac:dyDescent="0.25">
      <c r="A2368" s="2">
        <v>44746</v>
      </c>
      <c r="B2368" t="s">
        <v>32</v>
      </c>
      <c r="C2368">
        <v>14</v>
      </c>
      <c r="D2368" s="3">
        <v>6.88</v>
      </c>
      <c r="E2368" s="3">
        <v>96.32</v>
      </c>
      <c r="F2368">
        <v>21</v>
      </c>
      <c r="G2368">
        <v>8</v>
      </c>
      <c r="H2368" s="4">
        <v>1.8</v>
      </c>
      <c r="I2368" t="s">
        <v>33</v>
      </c>
      <c r="J2368" t="s">
        <v>33</v>
      </c>
      <c r="L2368">
        <f t="shared" si="72"/>
        <v>2022</v>
      </c>
      <c r="M2368" t="str">
        <f t="shared" si="73"/>
        <v>COVID Period</v>
      </c>
    </row>
    <row r="2369" spans="1:13" x14ac:dyDescent="0.25">
      <c r="A2369" s="2">
        <v>44746</v>
      </c>
      <c r="B2369" t="s">
        <v>34</v>
      </c>
      <c r="C2369">
        <v>12</v>
      </c>
      <c r="D2369" s="3">
        <v>6.88</v>
      </c>
      <c r="E2369" s="3">
        <v>82.56</v>
      </c>
      <c r="F2369">
        <v>19</v>
      </c>
      <c r="G2369">
        <v>7</v>
      </c>
      <c r="H2369" s="4">
        <v>3.2</v>
      </c>
      <c r="I2369" t="s">
        <v>33</v>
      </c>
      <c r="J2369" t="s">
        <v>33</v>
      </c>
      <c r="L2369">
        <f t="shared" si="72"/>
        <v>2022</v>
      </c>
      <c r="M2369" t="str">
        <f t="shared" si="73"/>
        <v>COVID Period</v>
      </c>
    </row>
    <row r="2370" spans="1:13" x14ac:dyDescent="0.25">
      <c r="A2370" s="2">
        <v>44746</v>
      </c>
      <c r="B2370" t="s">
        <v>35</v>
      </c>
      <c r="C2370">
        <v>11</v>
      </c>
      <c r="D2370" s="3">
        <v>5.66</v>
      </c>
      <c r="E2370" s="3">
        <v>62.26</v>
      </c>
      <c r="F2370">
        <v>12</v>
      </c>
      <c r="G2370">
        <v>3</v>
      </c>
      <c r="H2370" s="4">
        <v>0.7</v>
      </c>
      <c r="I2370" t="s">
        <v>33</v>
      </c>
      <c r="J2370" t="s">
        <v>33</v>
      </c>
      <c r="L2370">
        <f t="shared" ref="L2370:L2433" si="74">YEAR(A2370)</f>
        <v>2022</v>
      </c>
      <c r="M2370" t="str">
        <f t="shared" ref="M2370:M2433" si="75">IF(L2370=2019,"Pre-COVID","COVID Period")</f>
        <v>COVID Period</v>
      </c>
    </row>
    <row r="2371" spans="1:13" x14ac:dyDescent="0.25">
      <c r="A2371" s="2">
        <v>44746</v>
      </c>
      <c r="B2371" t="s">
        <v>36</v>
      </c>
      <c r="C2371">
        <v>6</v>
      </c>
      <c r="D2371" s="3">
        <v>6.47</v>
      </c>
      <c r="E2371" s="3">
        <v>38.82</v>
      </c>
      <c r="F2371">
        <v>6</v>
      </c>
      <c r="G2371">
        <v>1</v>
      </c>
      <c r="H2371" s="4">
        <v>0.9</v>
      </c>
      <c r="I2371" t="s">
        <v>33</v>
      </c>
      <c r="J2371" t="s">
        <v>33</v>
      </c>
      <c r="L2371">
        <f t="shared" si="74"/>
        <v>2022</v>
      </c>
      <c r="M2371" t="str">
        <f t="shared" si="75"/>
        <v>COVID Period</v>
      </c>
    </row>
    <row r="2372" spans="1:13" x14ac:dyDescent="0.25">
      <c r="A2372" s="2">
        <v>44746</v>
      </c>
      <c r="B2372" t="s">
        <v>37</v>
      </c>
      <c r="C2372">
        <v>27</v>
      </c>
      <c r="D2372" s="3">
        <v>3.26</v>
      </c>
      <c r="E2372" s="3">
        <v>88.02</v>
      </c>
      <c r="F2372">
        <v>37</v>
      </c>
      <c r="G2372">
        <v>13</v>
      </c>
      <c r="H2372" s="4">
        <v>2.2000000000000002</v>
      </c>
      <c r="I2372" t="s">
        <v>33</v>
      </c>
      <c r="J2372" t="s">
        <v>33</v>
      </c>
      <c r="L2372">
        <f t="shared" si="74"/>
        <v>2022</v>
      </c>
      <c r="M2372" t="str">
        <f t="shared" si="75"/>
        <v>COVID Period</v>
      </c>
    </row>
    <row r="2373" spans="1:13" x14ac:dyDescent="0.25">
      <c r="A2373" s="2">
        <v>44746</v>
      </c>
      <c r="B2373" t="s">
        <v>38</v>
      </c>
      <c r="C2373">
        <v>8</v>
      </c>
      <c r="D2373" s="3">
        <v>8.82</v>
      </c>
      <c r="E2373" s="3">
        <v>70.56</v>
      </c>
      <c r="F2373">
        <v>9</v>
      </c>
      <c r="G2373">
        <v>1</v>
      </c>
      <c r="H2373" s="4">
        <v>1.7</v>
      </c>
      <c r="I2373" t="s">
        <v>33</v>
      </c>
      <c r="J2373" t="s">
        <v>33</v>
      </c>
      <c r="L2373">
        <f t="shared" si="74"/>
        <v>2022</v>
      </c>
      <c r="M2373" t="str">
        <f t="shared" si="75"/>
        <v>COVID Period</v>
      </c>
    </row>
    <row r="2374" spans="1:13" x14ac:dyDescent="0.25">
      <c r="A2374" s="2">
        <v>44746</v>
      </c>
      <c r="B2374" t="s">
        <v>39</v>
      </c>
      <c r="C2374">
        <v>12</v>
      </c>
      <c r="D2374" s="3">
        <v>11.38</v>
      </c>
      <c r="E2374" s="3">
        <v>136.56</v>
      </c>
      <c r="F2374">
        <v>18</v>
      </c>
      <c r="G2374">
        <v>8</v>
      </c>
      <c r="H2374" s="4">
        <v>1</v>
      </c>
      <c r="I2374" t="s">
        <v>33</v>
      </c>
      <c r="J2374" t="s">
        <v>33</v>
      </c>
      <c r="L2374">
        <f t="shared" si="74"/>
        <v>2022</v>
      </c>
      <c r="M2374" t="str">
        <f t="shared" si="75"/>
        <v>COVID Period</v>
      </c>
    </row>
    <row r="2375" spans="1:13" x14ac:dyDescent="0.25">
      <c r="A2375" s="2">
        <v>44746</v>
      </c>
      <c r="B2375" t="s">
        <v>40</v>
      </c>
      <c r="C2375">
        <v>17</v>
      </c>
      <c r="D2375" s="3">
        <v>0.63</v>
      </c>
      <c r="E2375" s="3">
        <v>10.71</v>
      </c>
      <c r="F2375">
        <v>19</v>
      </c>
      <c r="G2375">
        <v>4</v>
      </c>
      <c r="H2375" s="4">
        <v>0.8</v>
      </c>
      <c r="I2375" t="s">
        <v>33</v>
      </c>
      <c r="J2375" t="s">
        <v>33</v>
      </c>
      <c r="L2375">
        <f t="shared" si="74"/>
        <v>2022</v>
      </c>
      <c r="M2375" t="str">
        <f t="shared" si="75"/>
        <v>COVID Period</v>
      </c>
    </row>
    <row r="2376" spans="1:13" x14ac:dyDescent="0.25">
      <c r="A2376" s="2">
        <v>44746</v>
      </c>
      <c r="B2376" t="s">
        <v>41</v>
      </c>
      <c r="C2376">
        <v>11</v>
      </c>
      <c r="D2376" s="3">
        <v>1.4</v>
      </c>
      <c r="E2376" s="3">
        <v>15.4</v>
      </c>
      <c r="F2376">
        <v>16</v>
      </c>
      <c r="G2376">
        <v>6</v>
      </c>
      <c r="H2376" s="4">
        <v>1.9</v>
      </c>
      <c r="I2376" t="s">
        <v>33</v>
      </c>
      <c r="J2376" t="s">
        <v>33</v>
      </c>
      <c r="L2376">
        <f t="shared" si="74"/>
        <v>2022</v>
      </c>
      <c r="M2376" t="str">
        <f t="shared" si="75"/>
        <v>COVID Period</v>
      </c>
    </row>
    <row r="2377" spans="1:13" x14ac:dyDescent="0.25">
      <c r="A2377" s="2">
        <v>44746</v>
      </c>
      <c r="B2377" t="s">
        <v>42</v>
      </c>
      <c r="C2377">
        <v>11</v>
      </c>
      <c r="D2377" s="3">
        <v>4.1900000000000004</v>
      </c>
      <c r="E2377" s="3">
        <v>46.09</v>
      </c>
      <c r="F2377">
        <v>17</v>
      </c>
      <c r="G2377">
        <v>7</v>
      </c>
      <c r="H2377" s="4">
        <v>4.5</v>
      </c>
      <c r="I2377" t="s">
        <v>33</v>
      </c>
      <c r="J2377" t="s">
        <v>33</v>
      </c>
      <c r="L2377">
        <f t="shared" si="74"/>
        <v>2022</v>
      </c>
      <c r="M2377" t="str">
        <f t="shared" si="75"/>
        <v>COVID Period</v>
      </c>
    </row>
    <row r="2378" spans="1:13" x14ac:dyDescent="0.25">
      <c r="A2378" s="2">
        <v>44746</v>
      </c>
      <c r="B2378" t="s">
        <v>43</v>
      </c>
      <c r="C2378">
        <v>7</v>
      </c>
      <c r="D2378" s="3">
        <v>5.58</v>
      </c>
      <c r="E2378" s="3">
        <v>39.06</v>
      </c>
      <c r="F2378">
        <v>8</v>
      </c>
      <c r="G2378">
        <v>1</v>
      </c>
      <c r="H2378" s="4">
        <v>1.5</v>
      </c>
      <c r="I2378" t="s">
        <v>33</v>
      </c>
      <c r="J2378" t="s">
        <v>46</v>
      </c>
      <c r="L2378">
        <f t="shared" si="74"/>
        <v>2022</v>
      </c>
      <c r="M2378" t="str">
        <f t="shared" si="75"/>
        <v>COVID Period</v>
      </c>
    </row>
    <row r="2379" spans="1:13" x14ac:dyDescent="0.25">
      <c r="A2379" s="2">
        <v>44746</v>
      </c>
      <c r="B2379" t="s">
        <v>44</v>
      </c>
      <c r="C2379">
        <v>0</v>
      </c>
      <c r="D2379" s="3">
        <v>4.67</v>
      </c>
      <c r="E2379" s="3">
        <v>0</v>
      </c>
      <c r="F2379">
        <v>3</v>
      </c>
      <c r="G2379">
        <v>3</v>
      </c>
      <c r="H2379" s="4">
        <v>3</v>
      </c>
      <c r="I2379" t="s">
        <v>33</v>
      </c>
      <c r="J2379" t="s">
        <v>33</v>
      </c>
      <c r="L2379">
        <f t="shared" si="74"/>
        <v>2022</v>
      </c>
      <c r="M2379" t="str">
        <f t="shared" si="75"/>
        <v>COVID Period</v>
      </c>
    </row>
    <row r="2380" spans="1:13" x14ac:dyDescent="0.25">
      <c r="A2380" s="2">
        <v>44746</v>
      </c>
      <c r="B2380" t="s">
        <v>45</v>
      </c>
      <c r="C2380">
        <v>1</v>
      </c>
      <c r="D2380" s="3">
        <v>15.11</v>
      </c>
      <c r="E2380" s="3">
        <v>15.11</v>
      </c>
      <c r="F2380">
        <v>3</v>
      </c>
      <c r="G2380">
        <v>2</v>
      </c>
      <c r="H2380" s="4">
        <v>2.6</v>
      </c>
      <c r="I2380" t="s">
        <v>46</v>
      </c>
      <c r="J2380" t="s">
        <v>33</v>
      </c>
      <c r="L2380">
        <f t="shared" si="74"/>
        <v>2022</v>
      </c>
      <c r="M2380" t="str">
        <f t="shared" si="75"/>
        <v>COVID Period</v>
      </c>
    </row>
    <row r="2381" spans="1:13" x14ac:dyDescent="0.25">
      <c r="A2381" s="2">
        <v>44753</v>
      </c>
      <c r="B2381" t="s">
        <v>32</v>
      </c>
      <c r="C2381">
        <v>16</v>
      </c>
      <c r="D2381" s="3">
        <v>6.63</v>
      </c>
      <c r="E2381" s="3">
        <v>106.08</v>
      </c>
      <c r="F2381">
        <v>18</v>
      </c>
      <c r="G2381">
        <v>5</v>
      </c>
      <c r="H2381" s="4">
        <v>0.4</v>
      </c>
      <c r="I2381" t="s">
        <v>33</v>
      </c>
      <c r="J2381" t="s">
        <v>33</v>
      </c>
      <c r="L2381">
        <f t="shared" si="74"/>
        <v>2022</v>
      </c>
      <c r="M2381" t="str">
        <f t="shared" si="75"/>
        <v>COVID Period</v>
      </c>
    </row>
    <row r="2382" spans="1:13" x14ac:dyDescent="0.25">
      <c r="A2382" s="2">
        <v>44753</v>
      </c>
      <c r="B2382" t="s">
        <v>34</v>
      </c>
      <c r="C2382">
        <v>16</v>
      </c>
      <c r="D2382" s="3">
        <v>6.84</v>
      </c>
      <c r="E2382" s="3">
        <v>109.44</v>
      </c>
      <c r="F2382">
        <v>22</v>
      </c>
      <c r="G2382">
        <v>9</v>
      </c>
      <c r="H2382" s="4">
        <v>1.6</v>
      </c>
      <c r="I2382" t="s">
        <v>33</v>
      </c>
      <c r="J2382" t="s">
        <v>33</v>
      </c>
      <c r="L2382">
        <f t="shared" si="74"/>
        <v>2022</v>
      </c>
      <c r="M2382" t="str">
        <f t="shared" si="75"/>
        <v>COVID Period</v>
      </c>
    </row>
    <row r="2383" spans="1:13" x14ac:dyDescent="0.25">
      <c r="A2383" s="2">
        <v>44753</v>
      </c>
      <c r="B2383" t="s">
        <v>35</v>
      </c>
      <c r="C2383">
        <v>9</v>
      </c>
      <c r="D2383" s="3">
        <v>5.87</v>
      </c>
      <c r="E2383" s="3">
        <v>52.83</v>
      </c>
      <c r="F2383">
        <v>10</v>
      </c>
      <c r="G2383">
        <v>1</v>
      </c>
      <c r="H2383" s="4">
        <v>1.5</v>
      </c>
      <c r="I2383" t="s">
        <v>33</v>
      </c>
      <c r="J2383" t="s">
        <v>33</v>
      </c>
      <c r="L2383">
        <f t="shared" si="74"/>
        <v>2022</v>
      </c>
      <c r="M2383" t="str">
        <f t="shared" si="75"/>
        <v>COVID Period</v>
      </c>
    </row>
    <row r="2384" spans="1:13" x14ac:dyDescent="0.25">
      <c r="A2384" s="2">
        <v>44753</v>
      </c>
      <c r="B2384" t="s">
        <v>36</v>
      </c>
      <c r="C2384">
        <v>6</v>
      </c>
      <c r="D2384" s="3">
        <v>6.49</v>
      </c>
      <c r="E2384" s="3">
        <v>38.94</v>
      </c>
      <c r="F2384">
        <v>8</v>
      </c>
      <c r="G2384">
        <v>2</v>
      </c>
      <c r="H2384" s="4">
        <v>2.2000000000000002</v>
      </c>
      <c r="I2384" t="s">
        <v>33</v>
      </c>
      <c r="J2384" t="s">
        <v>46</v>
      </c>
      <c r="L2384">
        <f t="shared" si="74"/>
        <v>2022</v>
      </c>
      <c r="M2384" t="str">
        <f t="shared" si="75"/>
        <v>COVID Period</v>
      </c>
    </row>
    <row r="2385" spans="1:13" x14ac:dyDescent="0.25">
      <c r="A2385" s="2">
        <v>44753</v>
      </c>
      <c r="B2385" t="s">
        <v>37</v>
      </c>
      <c r="C2385">
        <v>23</v>
      </c>
      <c r="D2385" s="3">
        <v>3.11</v>
      </c>
      <c r="E2385" s="3">
        <v>71.53</v>
      </c>
      <c r="F2385">
        <v>36</v>
      </c>
      <c r="G2385">
        <v>15</v>
      </c>
      <c r="H2385" s="4">
        <v>1.6</v>
      </c>
      <c r="I2385" t="s">
        <v>33</v>
      </c>
      <c r="J2385" t="s">
        <v>33</v>
      </c>
      <c r="L2385">
        <f t="shared" si="74"/>
        <v>2022</v>
      </c>
      <c r="M2385" t="str">
        <f t="shared" si="75"/>
        <v>COVID Period</v>
      </c>
    </row>
    <row r="2386" spans="1:13" x14ac:dyDescent="0.25">
      <c r="A2386" s="2">
        <v>44753</v>
      </c>
      <c r="B2386" t="s">
        <v>38</v>
      </c>
      <c r="C2386">
        <v>13</v>
      </c>
      <c r="D2386" s="3">
        <v>8.35</v>
      </c>
      <c r="E2386" s="3">
        <v>108.55</v>
      </c>
      <c r="F2386">
        <v>20</v>
      </c>
      <c r="G2386">
        <v>7</v>
      </c>
      <c r="H2386" s="4">
        <v>2.6</v>
      </c>
      <c r="I2386" t="s">
        <v>33</v>
      </c>
      <c r="J2386" t="s">
        <v>33</v>
      </c>
      <c r="L2386">
        <f t="shared" si="74"/>
        <v>2022</v>
      </c>
      <c r="M2386" t="str">
        <f t="shared" si="75"/>
        <v>COVID Period</v>
      </c>
    </row>
    <row r="2387" spans="1:13" x14ac:dyDescent="0.25">
      <c r="A2387" s="2">
        <v>44753</v>
      </c>
      <c r="B2387" t="s">
        <v>39</v>
      </c>
      <c r="C2387">
        <v>18</v>
      </c>
      <c r="D2387" s="3">
        <v>11.33</v>
      </c>
      <c r="E2387" s="3">
        <v>203.94</v>
      </c>
      <c r="F2387">
        <v>26</v>
      </c>
      <c r="G2387">
        <v>9</v>
      </c>
      <c r="H2387" s="4">
        <v>1.4</v>
      </c>
      <c r="I2387" t="s">
        <v>33</v>
      </c>
      <c r="J2387" t="s">
        <v>33</v>
      </c>
      <c r="L2387">
        <f t="shared" si="74"/>
        <v>2022</v>
      </c>
      <c r="M2387" t="str">
        <f t="shared" si="75"/>
        <v>COVID Period</v>
      </c>
    </row>
    <row r="2388" spans="1:13" x14ac:dyDescent="0.25">
      <c r="A2388" s="2">
        <v>44753</v>
      </c>
      <c r="B2388" t="s">
        <v>40</v>
      </c>
      <c r="C2388">
        <v>24</v>
      </c>
      <c r="D2388" s="3">
        <v>0.65</v>
      </c>
      <c r="E2388" s="3">
        <v>15.6</v>
      </c>
      <c r="F2388">
        <v>30</v>
      </c>
      <c r="G2388">
        <v>9</v>
      </c>
      <c r="H2388" s="4">
        <v>1.8</v>
      </c>
      <c r="I2388" t="s">
        <v>33</v>
      </c>
      <c r="J2388" t="s">
        <v>33</v>
      </c>
      <c r="L2388">
        <f t="shared" si="74"/>
        <v>2022</v>
      </c>
      <c r="M2388" t="str">
        <f t="shared" si="75"/>
        <v>COVID Period</v>
      </c>
    </row>
    <row r="2389" spans="1:13" x14ac:dyDescent="0.25">
      <c r="A2389" s="2">
        <v>44753</v>
      </c>
      <c r="B2389" t="s">
        <v>41</v>
      </c>
      <c r="C2389">
        <v>14</v>
      </c>
      <c r="D2389" s="3">
        <v>1.41</v>
      </c>
      <c r="E2389" s="3">
        <v>19.739999999999998</v>
      </c>
      <c r="F2389">
        <v>18</v>
      </c>
      <c r="G2389">
        <v>6</v>
      </c>
      <c r="H2389" s="4">
        <v>3.3</v>
      </c>
      <c r="I2389" t="s">
        <v>33</v>
      </c>
      <c r="J2389" t="s">
        <v>33</v>
      </c>
      <c r="L2389">
        <f t="shared" si="74"/>
        <v>2022</v>
      </c>
      <c r="M2389" t="str">
        <f t="shared" si="75"/>
        <v>COVID Period</v>
      </c>
    </row>
    <row r="2390" spans="1:13" x14ac:dyDescent="0.25">
      <c r="A2390" s="2">
        <v>44753</v>
      </c>
      <c r="B2390" t="s">
        <v>42</v>
      </c>
      <c r="C2390">
        <v>16</v>
      </c>
      <c r="D2390" s="3">
        <v>4.32</v>
      </c>
      <c r="E2390" s="3">
        <v>69.12</v>
      </c>
      <c r="F2390">
        <v>23</v>
      </c>
      <c r="G2390">
        <v>10</v>
      </c>
      <c r="H2390" s="4">
        <v>2.1</v>
      </c>
      <c r="I2390" t="s">
        <v>33</v>
      </c>
      <c r="J2390" t="s">
        <v>33</v>
      </c>
      <c r="L2390">
        <f t="shared" si="74"/>
        <v>2022</v>
      </c>
      <c r="M2390" t="str">
        <f t="shared" si="75"/>
        <v>COVID Period</v>
      </c>
    </row>
    <row r="2391" spans="1:13" x14ac:dyDescent="0.25">
      <c r="A2391" s="2">
        <v>44753</v>
      </c>
      <c r="B2391" t="s">
        <v>43</v>
      </c>
      <c r="C2391">
        <v>7</v>
      </c>
      <c r="D2391" s="3">
        <v>5.44</v>
      </c>
      <c r="E2391" s="3">
        <v>38.08</v>
      </c>
      <c r="F2391">
        <v>10</v>
      </c>
      <c r="G2391">
        <v>4</v>
      </c>
      <c r="H2391" s="4">
        <v>0.9</v>
      </c>
      <c r="I2391" t="s">
        <v>33</v>
      </c>
      <c r="J2391" t="s">
        <v>33</v>
      </c>
      <c r="L2391">
        <f t="shared" si="74"/>
        <v>2022</v>
      </c>
      <c r="M2391" t="str">
        <f t="shared" si="75"/>
        <v>COVID Period</v>
      </c>
    </row>
    <row r="2392" spans="1:13" x14ac:dyDescent="0.25">
      <c r="A2392" s="2">
        <v>44753</v>
      </c>
      <c r="B2392" t="s">
        <v>44</v>
      </c>
      <c r="C2392">
        <v>1</v>
      </c>
      <c r="D2392" s="3">
        <v>4.97</v>
      </c>
      <c r="E2392" s="3">
        <v>4.97</v>
      </c>
      <c r="F2392">
        <v>3</v>
      </c>
      <c r="G2392">
        <v>2</v>
      </c>
      <c r="H2392" s="4">
        <v>1.5</v>
      </c>
      <c r="I2392" t="s">
        <v>46</v>
      </c>
      <c r="J2392" t="s">
        <v>33</v>
      </c>
      <c r="K2392" t="s">
        <v>47</v>
      </c>
      <c r="L2392">
        <f t="shared" si="74"/>
        <v>2022</v>
      </c>
      <c r="M2392" t="str">
        <f t="shared" si="75"/>
        <v>COVID Period</v>
      </c>
    </row>
    <row r="2393" spans="1:13" x14ac:dyDescent="0.25">
      <c r="A2393" s="2">
        <v>44753</v>
      </c>
      <c r="B2393" t="s">
        <v>45</v>
      </c>
      <c r="C2393">
        <v>0</v>
      </c>
      <c r="D2393" s="3">
        <v>14.81</v>
      </c>
      <c r="E2393" s="3">
        <v>0</v>
      </c>
      <c r="F2393">
        <v>3</v>
      </c>
      <c r="G2393">
        <v>4</v>
      </c>
      <c r="H2393" s="4">
        <v>2</v>
      </c>
      <c r="I2393" t="s">
        <v>33</v>
      </c>
      <c r="J2393" t="s">
        <v>33</v>
      </c>
      <c r="L2393">
        <f t="shared" si="74"/>
        <v>2022</v>
      </c>
      <c r="M2393" t="str">
        <f t="shared" si="75"/>
        <v>COVID Period</v>
      </c>
    </row>
    <row r="2394" spans="1:13" x14ac:dyDescent="0.25">
      <c r="A2394" s="2">
        <v>44760</v>
      </c>
      <c r="B2394" t="s">
        <v>32</v>
      </c>
      <c r="C2394">
        <v>17</v>
      </c>
      <c r="D2394" s="3">
        <v>7.13</v>
      </c>
      <c r="E2394" s="3">
        <v>121.21</v>
      </c>
      <c r="F2394">
        <v>18</v>
      </c>
      <c r="G2394">
        <v>3</v>
      </c>
      <c r="H2394" s="4">
        <v>2.7</v>
      </c>
      <c r="I2394" t="s">
        <v>33</v>
      </c>
      <c r="J2394" t="s">
        <v>33</v>
      </c>
      <c r="L2394">
        <f t="shared" si="74"/>
        <v>2022</v>
      </c>
      <c r="M2394" t="str">
        <f t="shared" si="75"/>
        <v>COVID Period</v>
      </c>
    </row>
    <row r="2395" spans="1:13" x14ac:dyDescent="0.25">
      <c r="A2395" s="2">
        <v>44760</v>
      </c>
      <c r="B2395" t="s">
        <v>34</v>
      </c>
      <c r="C2395">
        <v>12</v>
      </c>
      <c r="D2395" s="3">
        <v>7.08</v>
      </c>
      <c r="E2395" s="3">
        <v>84.96</v>
      </c>
      <c r="F2395">
        <v>15</v>
      </c>
      <c r="G2395">
        <v>5</v>
      </c>
      <c r="H2395" s="4">
        <v>1.1000000000000001</v>
      </c>
      <c r="I2395" t="s">
        <v>33</v>
      </c>
      <c r="J2395" t="s">
        <v>33</v>
      </c>
      <c r="L2395">
        <f t="shared" si="74"/>
        <v>2022</v>
      </c>
      <c r="M2395" t="str">
        <f t="shared" si="75"/>
        <v>COVID Period</v>
      </c>
    </row>
    <row r="2396" spans="1:13" x14ac:dyDescent="0.25">
      <c r="A2396" s="2">
        <v>44760</v>
      </c>
      <c r="B2396" t="s">
        <v>35</v>
      </c>
      <c r="C2396">
        <v>9</v>
      </c>
      <c r="D2396" s="3">
        <v>5.88</v>
      </c>
      <c r="E2396" s="3">
        <v>52.92</v>
      </c>
      <c r="F2396">
        <v>10</v>
      </c>
      <c r="G2396">
        <v>3</v>
      </c>
      <c r="H2396" s="4">
        <v>1.1000000000000001</v>
      </c>
      <c r="I2396" t="s">
        <v>33</v>
      </c>
      <c r="J2396" t="s">
        <v>33</v>
      </c>
      <c r="L2396">
        <f t="shared" si="74"/>
        <v>2022</v>
      </c>
      <c r="M2396" t="str">
        <f t="shared" si="75"/>
        <v>COVID Period</v>
      </c>
    </row>
    <row r="2397" spans="1:13" x14ac:dyDescent="0.25">
      <c r="A2397" s="2">
        <v>44760</v>
      </c>
      <c r="B2397" t="s">
        <v>36</v>
      </c>
      <c r="C2397">
        <v>9</v>
      </c>
      <c r="D2397" s="3">
        <v>6.34</v>
      </c>
      <c r="E2397" s="3">
        <v>57.06</v>
      </c>
      <c r="F2397">
        <v>13</v>
      </c>
      <c r="G2397">
        <v>6</v>
      </c>
      <c r="H2397" s="4">
        <v>2.7</v>
      </c>
      <c r="I2397" t="s">
        <v>33</v>
      </c>
      <c r="J2397" t="s">
        <v>33</v>
      </c>
      <c r="L2397">
        <f t="shared" si="74"/>
        <v>2022</v>
      </c>
      <c r="M2397" t="str">
        <f t="shared" si="75"/>
        <v>COVID Period</v>
      </c>
    </row>
    <row r="2398" spans="1:13" x14ac:dyDescent="0.25">
      <c r="A2398" s="2">
        <v>44760</v>
      </c>
      <c r="B2398" t="s">
        <v>37</v>
      </c>
      <c r="C2398">
        <v>21</v>
      </c>
      <c r="D2398" s="3">
        <v>3.21</v>
      </c>
      <c r="E2398" s="3">
        <v>67.41</v>
      </c>
      <c r="F2398">
        <v>31</v>
      </c>
      <c r="G2398">
        <v>15</v>
      </c>
      <c r="H2398" s="4">
        <v>1.8</v>
      </c>
      <c r="I2398" t="s">
        <v>33</v>
      </c>
      <c r="J2398" t="s">
        <v>33</v>
      </c>
      <c r="L2398">
        <f t="shared" si="74"/>
        <v>2022</v>
      </c>
      <c r="M2398" t="str">
        <f t="shared" si="75"/>
        <v>COVID Period</v>
      </c>
    </row>
    <row r="2399" spans="1:13" x14ac:dyDescent="0.25">
      <c r="A2399" s="2">
        <v>44760</v>
      </c>
      <c r="B2399" t="s">
        <v>38</v>
      </c>
      <c r="C2399">
        <v>12</v>
      </c>
      <c r="D2399" s="3">
        <v>8.76</v>
      </c>
      <c r="E2399" s="3">
        <v>105.12</v>
      </c>
      <c r="F2399">
        <v>18</v>
      </c>
      <c r="G2399">
        <v>9</v>
      </c>
      <c r="H2399" s="4">
        <v>1.3</v>
      </c>
      <c r="I2399" t="s">
        <v>33</v>
      </c>
      <c r="J2399" t="s">
        <v>33</v>
      </c>
      <c r="L2399">
        <f t="shared" si="74"/>
        <v>2022</v>
      </c>
      <c r="M2399" t="str">
        <f t="shared" si="75"/>
        <v>COVID Period</v>
      </c>
    </row>
    <row r="2400" spans="1:13" x14ac:dyDescent="0.25">
      <c r="A2400" s="2">
        <v>44760</v>
      </c>
      <c r="B2400" t="s">
        <v>39</v>
      </c>
      <c r="C2400">
        <v>15</v>
      </c>
      <c r="D2400" s="3">
        <v>11.24</v>
      </c>
      <c r="E2400" s="3">
        <v>168.6</v>
      </c>
      <c r="F2400">
        <v>25</v>
      </c>
      <c r="G2400">
        <v>14</v>
      </c>
      <c r="H2400" s="4">
        <v>0.3</v>
      </c>
      <c r="I2400" t="s">
        <v>33</v>
      </c>
      <c r="J2400" t="s">
        <v>33</v>
      </c>
      <c r="L2400">
        <f t="shared" si="74"/>
        <v>2022</v>
      </c>
      <c r="M2400" t="str">
        <f t="shared" si="75"/>
        <v>COVID Period</v>
      </c>
    </row>
    <row r="2401" spans="1:13" x14ac:dyDescent="0.25">
      <c r="A2401" s="2">
        <v>44760</v>
      </c>
      <c r="B2401" t="s">
        <v>40</v>
      </c>
      <c r="C2401">
        <v>13</v>
      </c>
      <c r="D2401" s="3">
        <v>0.64</v>
      </c>
      <c r="E2401" s="3">
        <v>8.32</v>
      </c>
      <c r="F2401">
        <v>18</v>
      </c>
      <c r="G2401">
        <v>7</v>
      </c>
      <c r="H2401" s="4">
        <v>4.9000000000000004</v>
      </c>
      <c r="I2401" t="s">
        <v>33</v>
      </c>
      <c r="J2401" t="s">
        <v>33</v>
      </c>
      <c r="L2401">
        <f t="shared" si="74"/>
        <v>2022</v>
      </c>
      <c r="M2401" t="str">
        <f t="shared" si="75"/>
        <v>COVID Period</v>
      </c>
    </row>
    <row r="2402" spans="1:13" x14ac:dyDescent="0.25">
      <c r="A2402" s="2">
        <v>44760</v>
      </c>
      <c r="B2402" t="s">
        <v>41</v>
      </c>
      <c r="C2402">
        <v>13</v>
      </c>
      <c r="D2402" s="3">
        <v>1.4</v>
      </c>
      <c r="E2402" s="3">
        <v>18.2</v>
      </c>
      <c r="F2402">
        <v>21</v>
      </c>
      <c r="G2402">
        <v>11</v>
      </c>
      <c r="H2402" s="4">
        <v>2.2999999999999998</v>
      </c>
      <c r="I2402" t="s">
        <v>33</v>
      </c>
      <c r="J2402" t="s">
        <v>33</v>
      </c>
      <c r="L2402">
        <f t="shared" si="74"/>
        <v>2022</v>
      </c>
      <c r="M2402" t="str">
        <f t="shared" si="75"/>
        <v>COVID Period</v>
      </c>
    </row>
    <row r="2403" spans="1:13" x14ac:dyDescent="0.25">
      <c r="A2403" s="2">
        <v>44760</v>
      </c>
      <c r="B2403" t="s">
        <v>42</v>
      </c>
      <c r="C2403">
        <v>11</v>
      </c>
      <c r="D2403" s="3">
        <v>4.21</v>
      </c>
      <c r="E2403" s="3">
        <v>46.31</v>
      </c>
      <c r="F2403">
        <v>17</v>
      </c>
      <c r="G2403">
        <v>8</v>
      </c>
      <c r="H2403" s="4">
        <v>0.5</v>
      </c>
      <c r="I2403" t="s">
        <v>33</v>
      </c>
      <c r="J2403" t="s">
        <v>33</v>
      </c>
      <c r="L2403">
        <f t="shared" si="74"/>
        <v>2022</v>
      </c>
      <c r="M2403" t="str">
        <f t="shared" si="75"/>
        <v>COVID Period</v>
      </c>
    </row>
    <row r="2404" spans="1:13" x14ac:dyDescent="0.25">
      <c r="A2404" s="2">
        <v>44760</v>
      </c>
      <c r="B2404" t="s">
        <v>43</v>
      </c>
      <c r="C2404">
        <v>10</v>
      </c>
      <c r="D2404" s="3">
        <v>5.7</v>
      </c>
      <c r="E2404" s="3">
        <v>57</v>
      </c>
      <c r="F2404">
        <v>16</v>
      </c>
      <c r="G2404">
        <v>8</v>
      </c>
      <c r="H2404" s="4">
        <v>2.8</v>
      </c>
      <c r="I2404" t="s">
        <v>33</v>
      </c>
      <c r="J2404" t="s">
        <v>33</v>
      </c>
      <c r="L2404">
        <f t="shared" si="74"/>
        <v>2022</v>
      </c>
      <c r="M2404" t="str">
        <f t="shared" si="75"/>
        <v>COVID Period</v>
      </c>
    </row>
    <row r="2405" spans="1:13" x14ac:dyDescent="0.25">
      <c r="A2405" s="2">
        <v>44760</v>
      </c>
      <c r="B2405" t="s">
        <v>44</v>
      </c>
      <c r="C2405">
        <v>0</v>
      </c>
      <c r="D2405" s="3">
        <v>4.8099999999999996</v>
      </c>
      <c r="E2405" s="3">
        <v>0</v>
      </c>
      <c r="F2405">
        <v>3</v>
      </c>
      <c r="G2405">
        <v>3</v>
      </c>
      <c r="H2405" s="4">
        <v>2.2000000000000002</v>
      </c>
      <c r="I2405" t="s">
        <v>33</v>
      </c>
      <c r="J2405" t="s">
        <v>33</v>
      </c>
      <c r="L2405">
        <f t="shared" si="74"/>
        <v>2022</v>
      </c>
      <c r="M2405" t="str">
        <f t="shared" si="75"/>
        <v>COVID Period</v>
      </c>
    </row>
    <row r="2406" spans="1:13" x14ac:dyDescent="0.25">
      <c r="A2406" s="2">
        <v>44760</v>
      </c>
      <c r="B2406" t="s">
        <v>45</v>
      </c>
      <c r="C2406">
        <v>0</v>
      </c>
      <c r="D2406" s="3">
        <v>14.91</v>
      </c>
      <c r="E2406" s="3">
        <v>0</v>
      </c>
      <c r="F2406">
        <v>3</v>
      </c>
      <c r="G2406">
        <v>3</v>
      </c>
      <c r="H2406" s="4">
        <v>1.4</v>
      </c>
      <c r="I2406" t="s">
        <v>33</v>
      </c>
      <c r="J2406" t="s">
        <v>33</v>
      </c>
      <c r="L2406">
        <f t="shared" si="74"/>
        <v>2022</v>
      </c>
      <c r="M2406" t="str">
        <f t="shared" si="75"/>
        <v>COVID Period</v>
      </c>
    </row>
    <row r="2407" spans="1:13" x14ac:dyDescent="0.25">
      <c r="A2407" s="2">
        <v>44767</v>
      </c>
      <c r="B2407" t="s">
        <v>32</v>
      </c>
      <c r="C2407">
        <v>17</v>
      </c>
      <c r="D2407" s="3">
        <v>7.14</v>
      </c>
      <c r="E2407" s="3">
        <v>121.38</v>
      </c>
      <c r="F2407">
        <v>26</v>
      </c>
      <c r="G2407">
        <v>10</v>
      </c>
      <c r="H2407" s="4">
        <v>3.4</v>
      </c>
      <c r="I2407" t="s">
        <v>33</v>
      </c>
      <c r="J2407" t="s">
        <v>33</v>
      </c>
      <c r="L2407">
        <f t="shared" si="74"/>
        <v>2022</v>
      </c>
      <c r="M2407" t="str">
        <f t="shared" si="75"/>
        <v>COVID Period</v>
      </c>
    </row>
    <row r="2408" spans="1:13" x14ac:dyDescent="0.25">
      <c r="A2408" s="2">
        <v>44767</v>
      </c>
      <c r="B2408" t="s">
        <v>34</v>
      </c>
      <c r="C2408">
        <v>17</v>
      </c>
      <c r="D2408" s="3">
        <v>6.92</v>
      </c>
      <c r="E2408" s="3">
        <v>117.64</v>
      </c>
      <c r="F2408">
        <v>27</v>
      </c>
      <c r="G2408">
        <v>14</v>
      </c>
      <c r="H2408" s="4">
        <v>1.4</v>
      </c>
      <c r="I2408" t="s">
        <v>33</v>
      </c>
      <c r="J2408" t="s">
        <v>33</v>
      </c>
      <c r="L2408">
        <f t="shared" si="74"/>
        <v>2022</v>
      </c>
      <c r="M2408" t="str">
        <f t="shared" si="75"/>
        <v>COVID Period</v>
      </c>
    </row>
    <row r="2409" spans="1:13" x14ac:dyDescent="0.25">
      <c r="A2409" s="2">
        <v>44767</v>
      </c>
      <c r="B2409" t="s">
        <v>35</v>
      </c>
      <c r="C2409">
        <v>9</v>
      </c>
      <c r="D2409" s="3">
        <v>5.81</v>
      </c>
      <c r="E2409" s="3">
        <v>52.29</v>
      </c>
      <c r="F2409">
        <v>10</v>
      </c>
      <c r="G2409">
        <v>3</v>
      </c>
      <c r="H2409" s="4">
        <v>3</v>
      </c>
      <c r="I2409" t="s">
        <v>33</v>
      </c>
      <c r="J2409" t="s">
        <v>33</v>
      </c>
      <c r="L2409">
        <f t="shared" si="74"/>
        <v>2022</v>
      </c>
      <c r="M2409" t="str">
        <f t="shared" si="75"/>
        <v>COVID Period</v>
      </c>
    </row>
    <row r="2410" spans="1:13" x14ac:dyDescent="0.25">
      <c r="A2410" s="2">
        <v>44767</v>
      </c>
      <c r="B2410" t="s">
        <v>36</v>
      </c>
      <c r="C2410">
        <v>9</v>
      </c>
      <c r="D2410" s="3">
        <v>5.97</v>
      </c>
      <c r="E2410" s="3">
        <v>53.73</v>
      </c>
      <c r="F2410">
        <v>13</v>
      </c>
      <c r="G2410">
        <v>6</v>
      </c>
      <c r="H2410" s="4">
        <v>0</v>
      </c>
      <c r="I2410" t="s">
        <v>33</v>
      </c>
      <c r="J2410" t="s">
        <v>33</v>
      </c>
      <c r="L2410">
        <f t="shared" si="74"/>
        <v>2022</v>
      </c>
      <c r="M2410" t="str">
        <f t="shared" si="75"/>
        <v>COVID Period</v>
      </c>
    </row>
    <row r="2411" spans="1:13" x14ac:dyDescent="0.25">
      <c r="A2411" s="2">
        <v>44767</v>
      </c>
      <c r="B2411" t="s">
        <v>37</v>
      </c>
      <c r="C2411">
        <v>22</v>
      </c>
      <c r="D2411" s="3">
        <v>3.22</v>
      </c>
      <c r="E2411" s="3">
        <v>70.84</v>
      </c>
      <c r="F2411">
        <v>24</v>
      </c>
      <c r="G2411">
        <v>3</v>
      </c>
      <c r="H2411" s="4">
        <v>2.1</v>
      </c>
      <c r="I2411" t="s">
        <v>33</v>
      </c>
      <c r="J2411" t="s">
        <v>33</v>
      </c>
      <c r="L2411">
        <f t="shared" si="74"/>
        <v>2022</v>
      </c>
      <c r="M2411" t="str">
        <f t="shared" si="75"/>
        <v>COVID Period</v>
      </c>
    </row>
    <row r="2412" spans="1:13" x14ac:dyDescent="0.25">
      <c r="A2412" s="2">
        <v>44767</v>
      </c>
      <c r="B2412" t="s">
        <v>38</v>
      </c>
      <c r="C2412">
        <v>10</v>
      </c>
      <c r="D2412" s="3">
        <v>8.6</v>
      </c>
      <c r="E2412" s="3">
        <v>86</v>
      </c>
      <c r="F2412">
        <v>15</v>
      </c>
      <c r="G2412">
        <v>5</v>
      </c>
      <c r="H2412" s="4">
        <v>0.7</v>
      </c>
      <c r="I2412" t="s">
        <v>33</v>
      </c>
      <c r="J2412" t="s">
        <v>33</v>
      </c>
      <c r="L2412">
        <f t="shared" si="74"/>
        <v>2022</v>
      </c>
      <c r="M2412" t="str">
        <f t="shared" si="75"/>
        <v>COVID Period</v>
      </c>
    </row>
    <row r="2413" spans="1:13" x14ac:dyDescent="0.25">
      <c r="A2413" s="2">
        <v>44767</v>
      </c>
      <c r="B2413" t="s">
        <v>39</v>
      </c>
      <c r="C2413">
        <v>17</v>
      </c>
      <c r="D2413" s="3">
        <v>12.05</v>
      </c>
      <c r="E2413" s="3">
        <v>204.85</v>
      </c>
      <c r="F2413">
        <v>27</v>
      </c>
      <c r="G2413">
        <v>11</v>
      </c>
      <c r="H2413" s="4">
        <v>1.7</v>
      </c>
      <c r="I2413" t="s">
        <v>33</v>
      </c>
      <c r="J2413" t="s">
        <v>33</v>
      </c>
      <c r="L2413">
        <f t="shared" si="74"/>
        <v>2022</v>
      </c>
      <c r="M2413" t="str">
        <f t="shared" si="75"/>
        <v>COVID Period</v>
      </c>
    </row>
    <row r="2414" spans="1:13" x14ac:dyDescent="0.25">
      <c r="A2414" s="2">
        <v>44767</v>
      </c>
      <c r="B2414" t="s">
        <v>40</v>
      </c>
      <c r="C2414">
        <v>16</v>
      </c>
      <c r="D2414" s="3">
        <v>0.68</v>
      </c>
      <c r="E2414" s="3">
        <v>10.88</v>
      </c>
      <c r="F2414">
        <v>17</v>
      </c>
      <c r="G2414">
        <v>2</v>
      </c>
      <c r="H2414" s="4">
        <v>1.3</v>
      </c>
      <c r="I2414" t="s">
        <v>33</v>
      </c>
      <c r="J2414" t="s">
        <v>33</v>
      </c>
      <c r="L2414">
        <f t="shared" si="74"/>
        <v>2022</v>
      </c>
      <c r="M2414" t="str">
        <f t="shared" si="75"/>
        <v>COVID Period</v>
      </c>
    </row>
    <row r="2415" spans="1:13" x14ac:dyDescent="0.25">
      <c r="A2415" s="2">
        <v>44767</v>
      </c>
      <c r="B2415" t="s">
        <v>41</v>
      </c>
      <c r="C2415">
        <v>8</v>
      </c>
      <c r="D2415" s="3">
        <v>1.38</v>
      </c>
      <c r="E2415" s="3">
        <v>11.04</v>
      </c>
      <c r="F2415">
        <v>12</v>
      </c>
      <c r="G2415">
        <v>5</v>
      </c>
      <c r="H2415" s="4">
        <v>2.6</v>
      </c>
      <c r="I2415" t="s">
        <v>33</v>
      </c>
      <c r="J2415" t="s">
        <v>33</v>
      </c>
      <c r="L2415">
        <f t="shared" si="74"/>
        <v>2022</v>
      </c>
      <c r="M2415" t="str">
        <f t="shared" si="75"/>
        <v>COVID Period</v>
      </c>
    </row>
    <row r="2416" spans="1:13" x14ac:dyDescent="0.25">
      <c r="A2416" s="2">
        <v>44767</v>
      </c>
      <c r="B2416" t="s">
        <v>42</v>
      </c>
      <c r="C2416">
        <v>15</v>
      </c>
      <c r="D2416" s="3">
        <v>4.34</v>
      </c>
      <c r="E2416" s="3">
        <v>65.099999999999994</v>
      </c>
      <c r="F2416">
        <v>21</v>
      </c>
      <c r="G2416">
        <v>8</v>
      </c>
      <c r="H2416" s="4">
        <v>4.5</v>
      </c>
      <c r="I2416" t="s">
        <v>33</v>
      </c>
      <c r="J2416" t="s">
        <v>33</v>
      </c>
      <c r="L2416">
        <f t="shared" si="74"/>
        <v>2022</v>
      </c>
      <c r="M2416" t="str">
        <f t="shared" si="75"/>
        <v>COVID Period</v>
      </c>
    </row>
    <row r="2417" spans="1:13" x14ac:dyDescent="0.25">
      <c r="A2417" s="2">
        <v>44767</v>
      </c>
      <c r="B2417" t="s">
        <v>43</v>
      </c>
      <c r="C2417">
        <v>7</v>
      </c>
      <c r="D2417" s="3">
        <v>5.33</v>
      </c>
      <c r="E2417" s="3">
        <v>37.31</v>
      </c>
      <c r="F2417">
        <v>9</v>
      </c>
      <c r="G2417">
        <v>2</v>
      </c>
      <c r="H2417" s="4">
        <v>1.5</v>
      </c>
      <c r="I2417" t="s">
        <v>33</v>
      </c>
      <c r="J2417" t="s">
        <v>46</v>
      </c>
      <c r="L2417">
        <f t="shared" si="74"/>
        <v>2022</v>
      </c>
      <c r="M2417" t="str">
        <f t="shared" si="75"/>
        <v>COVID Period</v>
      </c>
    </row>
    <row r="2418" spans="1:13" x14ac:dyDescent="0.25">
      <c r="A2418" s="2">
        <v>44767</v>
      </c>
      <c r="B2418" t="s">
        <v>44</v>
      </c>
      <c r="C2418">
        <v>0</v>
      </c>
      <c r="D2418" s="3">
        <v>4.91</v>
      </c>
      <c r="E2418" s="3">
        <v>0</v>
      </c>
      <c r="F2418">
        <v>3</v>
      </c>
      <c r="G2418">
        <v>3</v>
      </c>
      <c r="H2418" s="4">
        <v>2.9</v>
      </c>
      <c r="I2418" t="s">
        <v>33</v>
      </c>
      <c r="J2418" t="s">
        <v>33</v>
      </c>
      <c r="L2418">
        <f t="shared" si="74"/>
        <v>2022</v>
      </c>
      <c r="M2418" t="str">
        <f t="shared" si="75"/>
        <v>COVID Period</v>
      </c>
    </row>
    <row r="2419" spans="1:13" x14ac:dyDescent="0.25">
      <c r="A2419" s="2">
        <v>44767</v>
      </c>
      <c r="B2419" t="s">
        <v>45</v>
      </c>
      <c r="C2419">
        <v>0</v>
      </c>
      <c r="D2419" s="3">
        <v>15.73</v>
      </c>
      <c r="E2419" s="3">
        <v>0</v>
      </c>
      <c r="F2419">
        <v>3</v>
      </c>
      <c r="G2419">
        <v>3</v>
      </c>
      <c r="H2419" s="4">
        <v>1</v>
      </c>
      <c r="I2419" t="s">
        <v>33</v>
      </c>
      <c r="J2419" t="s">
        <v>33</v>
      </c>
      <c r="L2419">
        <f t="shared" si="74"/>
        <v>2022</v>
      </c>
      <c r="M2419" t="str">
        <f t="shared" si="75"/>
        <v>COVID Period</v>
      </c>
    </row>
    <row r="2420" spans="1:13" x14ac:dyDescent="0.25">
      <c r="A2420" s="2">
        <v>44774</v>
      </c>
      <c r="B2420" t="s">
        <v>32</v>
      </c>
      <c r="C2420">
        <v>14</v>
      </c>
      <c r="D2420" s="3">
        <v>6.94</v>
      </c>
      <c r="E2420" s="3">
        <v>97.16</v>
      </c>
      <c r="F2420">
        <v>20</v>
      </c>
      <c r="G2420">
        <v>8</v>
      </c>
      <c r="H2420" s="4">
        <v>1.4</v>
      </c>
      <c r="I2420" t="s">
        <v>33</v>
      </c>
      <c r="J2420" t="s">
        <v>33</v>
      </c>
      <c r="L2420">
        <f t="shared" si="74"/>
        <v>2022</v>
      </c>
      <c r="M2420" t="str">
        <f t="shared" si="75"/>
        <v>COVID Period</v>
      </c>
    </row>
    <row r="2421" spans="1:13" x14ac:dyDescent="0.25">
      <c r="A2421" s="2">
        <v>44774</v>
      </c>
      <c r="B2421" t="s">
        <v>34</v>
      </c>
      <c r="C2421">
        <v>12</v>
      </c>
      <c r="D2421" s="3">
        <v>7.07</v>
      </c>
      <c r="E2421" s="3">
        <v>84.84</v>
      </c>
      <c r="F2421">
        <v>16</v>
      </c>
      <c r="G2421">
        <v>6</v>
      </c>
      <c r="H2421" s="4">
        <v>1.9</v>
      </c>
      <c r="I2421" t="s">
        <v>33</v>
      </c>
      <c r="J2421" t="s">
        <v>33</v>
      </c>
      <c r="L2421">
        <f t="shared" si="74"/>
        <v>2022</v>
      </c>
      <c r="M2421" t="str">
        <f t="shared" si="75"/>
        <v>COVID Period</v>
      </c>
    </row>
    <row r="2422" spans="1:13" x14ac:dyDescent="0.25">
      <c r="A2422" s="2">
        <v>44774</v>
      </c>
      <c r="B2422" t="s">
        <v>35</v>
      </c>
      <c r="C2422">
        <v>9</v>
      </c>
      <c r="D2422" s="3">
        <v>5.76</v>
      </c>
      <c r="E2422" s="3">
        <v>51.84</v>
      </c>
      <c r="F2422">
        <v>15</v>
      </c>
      <c r="G2422">
        <v>7</v>
      </c>
      <c r="H2422" s="4">
        <v>2.2999999999999998</v>
      </c>
      <c r="I2422" t="s">
        <v>33</v>
      </c>
      <c r="J2422" t="s">
        <v>33</v>
      </c>
      <c r="L2422">
        <f t="shared" si="74"/>
        <v>2022</v>
      </c>
      <c r="M2422" t="str">
        <f t="shared" si="75"/>
        <v>COVID Period</v>
      </c>
    </row>
    <row r="2423" spans="1:13" x14ac:dyDescent="0.25">
      <c r="A2423" s="2">
        <v>44774</v>
      </c>
      <c r="B2423" t="s">
        <v>36</v>
      </c>
      <c r="C2423">
        <v>8</v>
      </c>
      <c r="D2423" s="3">
        <v>5.95</v>
      </c>
      <c r="E2423" s="3">
        <v>47.6</v>
      </c>
      <c r="F2423">
        <v>12</v>
      </c>
      <c r="G2423">
        <v>4</v>
      </c>
      <c r="H2423" s="4">
        <v>0.5</v>
      </c>
      <c r="I2423" t="s">
        <v>33</v>
      </c>
      <c r="J2423" t="s">
        <v>33</v>
      </c>
      <c r="L2423">
        <f t="shared" si="74"/>
        <v>2022</v>
      </c>
      <c r="M2423" t="str">
        <f t="shared" si="75"/>
        <v>COVID Period</v>
      </c>
    </row>
    <row r="2424" spans="1:13" x14ac:dyDescent="0.25">
      <c r="A2424" s="2">
        <v>44774</v>
      </c>
      <c r="B2424" t="s">
        <v>37</v>
      </c>
      <c r="C2424">
        <v>17</v>
      </c>
      <c r="D2424" s="3">
        <v>3.09</v>
      </c>
      <c r="E2424" s="3">
        <v>52.53</v>
      </c>
      <c r="F2424">
        <v>20</v>
      </c>
      <c r="G2424">
        <v>4</v>
      </c>
      <c r="H2424" s="4">
        <v>0.7</v>
      </c>
      <c r="I2424" t="s">
        <v>33</v>
      </c>
      <c r="J2424" t="s">
        <v>33</v>
      </c>
      <c r="L2424">
        <f t="shared" si="74"/>
        <v>2022</v>
      </c>
      <c r="M2424" t="str">
        <f t="shared" si="75"/>
        <v>COVID Period</v>
      </c>
    </row>
    <row r="2425" spans="1:13" x14ac:dyDescent="0.25">
      <c r="A2425" s="2">
        <v>44774</v>
      </c>
      <c r="B2425" t="s">
        <v>38</v>
      </c>
      <c r="C2425">
        <v>9</v>
      </c>
      <c r="D2425" s="3">
        <v>8.33</v>
      </c>
      <c r="E2425" s="3">
        <v>74.97</v>
      </c>
      <c r="F2425">
        <v>11</v>
      </c>
      <c r="G2425">
        <v>4</v>
      </c>
      <c r="H2425" s="4">
        <v>1</v>
      </c>
      <c r="I2425" t="s">
        <v>33</v>
      </c>
      <c r="J2425" t="s">
        <v>33</v>
      </c>
      <c r="L2425">
        <f t="shared" si="74"/>
        <v>2022</v>
      </c>
      <c r="M2425" t="str">
        <f t="shared" si="75"/>
        <v>COVID Period</v>
      </c>
    </row>
    <row r="2426" spans="1:13" x14ac:dyDescent="0.25">
      <c r="A2426" s="2">
        <v>44774</v>
      </c>
      <c r="B2426" t="s">
        <v>39</v>
      </c>
      <c r="C2426">
        <v>20</v>
      </c>
      <c r="D2426" s="3">
        <v>11.31</v>
      </c>
      <c r="E2426" s="3">
        <v>226.2</v>
      </c>
      <c r="F2426">
        <v>28</v>
      </c>
      <c r="G2426">
        <v>11</v>
      </c>
      <c r="H2426" s="4">
        <v>0.2</v>
      </c>
      <c r="I2426" t="s">
        <v>33</v>
      </c>
      <c r="J2426" t="s">
        <v>33</v>
      </c>
      <c r="L2426">
        <f t="shared" si="74"/>
        <v>2022</v>
      </c>
      <c r="M2426" t="str">
        <f t="shared" si="75"/>
        <v>COVID Period</v>
      </c>
    </row>
    <row r="2427" spans="1:13" x14ac:dyDescent="0.25">
      <c r="A2427" s="2">
        <v>44774</v>
      </c>
      <c r="B2427" t="s">
        <v>40</v>
      </c>
      <c r="C2427">
        <v>15</v>
      </c>
      <c r="D2427" s="3">
        <v>0.66</v>
      </c>
      <c r="E2427" s="3">
        <v>9.9</v>
      </c>
      <c r="F2427">
        <v>16</v>
      </c>
      <c r="G2427">
        <v>4</v>
      </c>
      <c r="H2427" s="4">
        <v>1.6</v>
      </c>
      <c r="I2427" t="s">
        <v>33</v>
      </c>
      <c r="J2427" t="s">
        <v>33</v>
      </c>
      <c r="L2427">
        <f t="shared" si="74"/>
        <v>2022</v>
      </c>
      <c r="M2427" t="str">
        <f t="shared" si="75"/>
        <v>COVID Period</v>
      </c>
    </row>
    <row r="2428" spans="1:13" x14ac:dyDescent="0.25">
      <c r="A2428" s="2">
        <v>44774</v>
      </c>
      <c r="B2428" t="s">
        <v>41</v>
      </c>
      <c r="C2428">
        <v>13</v>
      </c>
      <c r="D2428" s="3">
        <v>1.32</v>
      </c>
      <c r="E2428" s="3">
        <v>17.16</v>
      </c>
      <c r="F2428">
        <v>13</v>
      </c>
      <c r="G2428">
        <v>2</v>
      </c>
      <c r="H2428" s="4">
        <v>1.6</v>
      </c>
      <c r="I2428" t="s">
        <v>33</v>
      </c>
      <c r="J2428" t="s">
        <v>46</v>
      </c>
      <c r="L2428">
        <f t="shared" si="74"/>
        <v>2022</v>
      </c>
      <c r="M2428" t="str">
        <f t="shared" si="75"/>
        <v>COVID Period</v>
      </c>
    </row>
    <row r="2429" spans="1:13" x14ac:dyDescent="0.25">
      <c r="A2429" s="2">
        <v>44774</v>
      </c>
      <c r="B2429" t="s">
        <v>42</v>
      </c>
      <c r="C2429">
        <v>16</v>
      </c>
      <c r="D2429" s="3">
        <v>4.37</v>
      </c>
      <c r="E2429" s="3">
        <v>69.92</v>
      </c>
      <c r="F2429">
        <v>18</v>
      </c>
      <c r="G2429">
        <v>4</v>
      </c>
      <c r="H2429" s="4">
        <v>2.7</v>
      </c>
      <c r="I2429" t="s">
        <v>33</v>
      </c>
      <c r="J2429" t="s">
        <v>33</v>
      </c>
      <c r="L2429">
        <f t="shared" si="74"/>
        <v>2022</v>
      </c>
      <c r="M2429" t="str">
        <f t="shared" si="75"/>
        <v>COVID Period</v>
      </c>
    </row>
    <row r="2430" spans="1:13" x14ac:dyDescent="0.25">
      <c r="A2430" s="2">
        <v>44774</v>
      </c>
      <c r="B2430" t="s">
        <v>43</v>
      </c>
      <c r="C2430">
        <v>10</v>
      </c>
      <c r="D2430" s="3">
        <v>5.47</v>
      </c>
      <c r="E2430" s="3">
        <v>54.7</v>
      </c>
      <c r="F2430">
        <v>13</v>
      </c>
      <c r="G2430">
        <v>4</v>
      </c>
      <c r="H2430" s="4">
        <v>1.1000000000000001</v>
      </c>
      <c r="I2430" t="s">
        <v>33</v>
      </c>
      <c r="J2430" t="s">
        <v>33</v>
      </c>
      <c r="L2430">
        <f t="shared" si="74"/>
        <v>2022</v>
      </c>
      <c r="M2430" t="str">
        <f t="shared" si="75"/>
        <v>COVID Period</v>
      </c>
    </row>
    <row r="2431" spans="1:13" x14ac:dyDescent="0.25">
      <c r="A2431" s="2">
        <v>44774</v>
      </c>
      <c r="B2431" t="s">
        <v>44</v>
      </c>
      <c r="C2431">
        <v>0</v>
      </c>
      <c r="D2431" s="3">
        <v>4.88</v>
      </c>
      <c r="E2431" s="3">
        <v>0</v>
      </c>
      <c r="F2431">
        <v>3</v>
      </c>
      <c r="G2431">
        <v>3</v>
      </c>
      <c r="H2431" s="4">
        <v>0</v>
      </c>
      <c r="I2431" t="s">
        <v>33</v>
      </c>
      <c r="J2431" t="s">
        <v>33</v>
      </c>
      <c r="L2431">
        <f t="shared" si="74"/>
        <v>2022</v>
      </c>
      <c r="M2431" t="str">
        <f t="shared" si="75"/>
        <v>COVID Period</v>
      </c>
    </row>
    <row r="2432" spans="1:13" x14ac:dyDescent="0.25">
      <c r="A2432" s="2">
        <v>44774</v>
      </c>
      <c r="B2432" t="s">
        <v>45</v>
      </c>
      <c r="C2432">
        <v>1</v>
      </c>
      <c r="D2432" s="3">
        <v>15.02</v>
      </c>
      <c r="E2432" s="3">
        <v>15.02</v>
      </c>
      <c r="F2432">
        <v>3</v>
      </c>
      <c r="G2432">
        <v>2</v>
      </c>
      <c r="H2432" s="4">
        <v>2.6</v>
      </c>
      <c r="I2432" t="s">
        <v>46</v>
      </c>
      <c r="J2432" t="s">
        <v>33</v>
      </c>
      <c r="L2432">
        <f t="shared" si="74"/>
        <v>2022</v>
      </c>
      <c r="M2432" t="str">
        <f t="shared" si="75"/>
        <v>COVID Period</v>
      </c>
    </row>
    <row r="2433" spans="1:13" x14ac:dyDescent="0.25">
      <c r="A2433" s="2">
        <v>44781</v>
      </c>
      <c r="B2433" t="s">
        <v>32</v>
      </c>
      <c r="C2433">
        <v>21</v>
      </c>
      <c r="D2433" s="3">
        <v>6.71</v>
      </c>
      <c r="E2433" s="3">
        <v>140.91</v>
      </c>
      <c r="F2433">
        <v>27</v>
      </c>
      <c r="G2433">
        <v>7</v>
      </c>
      <c r="H2433" s="4">
        <v>1.5</v>
      </c>
      <c r="I2433" t="s">
        <v>33</v>
      </c>
      <c r="J2433" t="s">
        <v>33</v>
      </c>
      <c r="L2433">
        <f t="shared" si="74"/>
        <v>2022</v>
      </c>
      <c r="M2433" t="str">
        <f t="shared" si="75"/>
        <v>COVID Period</v>
      </c>
    </row>
    <row r="2434" spans="1:13" x14ac:dyDescent="0.25">
      <c r="A2434" s="2">
        <v>44781</v>
      </c>
      <c r="B2434" t="s">
        <v>34</v>
      </c>
      <c r="C2434">
        <v>15</v>
      </c>
      <c r="D2434" s="3">
        <v>7.1</v>
      </c>
      <c r="E2434" s="3">
        <v>106.5</v>
      </c>
      <c r="F2434">
        <v>23</v>
      </c>
      <c r="G2434">
        <v>9</v>
      </c>
      <c r="H2434" s="4">
        <v>0.5</v>
      </c>
      <c r="I2434" t="s">
        <v>33</v>
      </c>
      <c r="J2434" t="s">
        <v>33</v>
      </c>
      <c r="L2434">
        <f t="shared" ref="L2434:L2497" si="76">YEAR(A2434)</f>
        <v>2022</v>
      </c>
      <c r="M2434" t="str">
        <f t="shared" ref="M2434:M2497" si="77">IF(L2434=2019,"Pre-COVID","COVID Period")</f>
        <v>COVID Period</v>
      </c>
    </row>
    <row r="2435" spans="1:13" x14ac:dyDescent="0.25">
      <c r="A2435" s="2">
        <v>44781</v>
      </c>
      <c r="B2435" t="s">
        <v>35</v>
      </c>
      <c r="C2435">
        <v>10</v>
      </c>
      <c r="D2435" s="3">
        <v>5.79</v>
      </c>
      <c r="E2435" s="3">
        <v>57.9</v>
      </c>
      <c r="F2435">
        <v>16</v>
      </c>
      <c r="G2435">
        <v>6</v>
      </c>
      <c r="H2435" s="4">
        <v>2.2000000000000002</v>
      </c>
      <c r="I2435" t="s">
        <v>33</v>
      </c>
      <c r="J2435" t="s">
        <v>33</v>
      </c>
      <c r="L2435">
        <f t="shared" si="76"/>
        <v>2022</v>
      </c>
      <c r="M2435" t="str">
        <f t="shared" si="77"/>
        <v>COVID Period</v>
      </c>
    </row>
    <row r="2436" spans="1:13" x14ac:dyDescent="0.25">
      <c r="A2436" s="2">
        <v>44781</v>
      </c>
      <c r="B2436" t="s">
        <v>36</v>
      </c>
      <c r="C2436">
        <v>10</v>
      </c>
      <c r="D2436" s="3">
        <v>6.28</v>
      </c>
      <c r="E2436" s="3">
        <v>62.8</v>
      </c>
      <c r="F2436">
        <v>11</v>
      </c>
      <c r="G2436">
        <v>1</v>
      </c>
      <c r="H2436" s="4">
        <v>2.2000000000000002</v>
      </c>
      <c r="I2436" t="s">
        <v>33</v>
      </c>
      <c r="J2436" t="s">
        <v>33</v>
      </c>
      <c r="L2436">
        <f t="shared" si="76"/>
        <v>2022</v>
      </c>
      <c r="M2436" t="str">
        <f t="shared" si="77"/>
        <v>COVID Period</v>
      </c>
    </row>
    <row r="2437" spans="1:13" x14ac:dyDescent="0.25">
      <c r="A2437" s="2">
        <v>44781</v>
      </c>
      <c r="B2437" t="s">
        <v>37</v>
      </c>
      <c r="C2437">
        <v>28</v>
      </c>
      <c r="D2437" s="3">
        <v>3.22</v>
      </c>
      <c r="E2437" s="3">
        <v>90.16</v>
      </c>
      <c r="F2437">
        <v>36</v>
      </c>
      <c r="G2437">
        <v>11</v>
      </c>
      <c r="H2437" s="4">
        <v>1.9</v>
      </c>
      <c r="I2437" t="s">
        <v>33</v>
      </c>
      <c r="J2437" t="s">
        <v>33</v>
      </c>
      <c r="L2437">
        <f t="shared" si="76"/>
        <v>2022</v>
      </c>
      <c r="M2437" t="str">
        <f t="shared" si="77"/>
        <v>COVID Period</v>
      </c>
    </row>
    <row r="2438" spans="1:13" x14ac:dyDescent="0.25">
      <c r="A2438" s="2">
        <v>44781</v>
      </c>
      <c r="B2438" t="s">
        <v>38</v>
      </c>
      <c r="C2438">
        <v>7</v>
      </c>
      <c r="D2438" s="3">
        <v>8.1999999999999993</v>
      </c>
      <c r="E2438" s="3">
        <v>57.4</v>
      </c>
      <c r="F2438">
        <v>8</v>
      </c>
      <c r="G2438">
        <v>1</v>
      </c>
      <c r="H2438" s="4">
        <v>1.1000000000000001</v>
      </c>
      <c r="I2438" t="s">
        <v>33</v>
      </c>
      <c r="J2438" t="s">
        <v>33</v>
      </c>
      <c r="L2438">
        <f t="shared" si="76"/>
        <v>2022</v>
      </c>
      <c r="M2438" t="str">
        <f t="shared" si="77"/>
        <v>COVID Period</v>
      </c>
    </row>
    <row r="2439" spans="1:13" x14ac:dyDescent="0.25">
      <c r="A2439" s="2">
        <v>44781</v>
      </c>
      <c r="B2439" t="s">
        <v>39</v>
      </c>
      <c r="C2439">
        <v>25</v>
      </c>
      <c r="D2439" s="3">
        <v>11.23</v>
      </c>
      <c r="E2439" s="3">
        <v>280.75</v>
      </c>
      <c r="F2439">
        <v>35</v>
      </c>
      <c r="G2439">
        <v>14</v>
      </c>
      <c r="H2439" s="4">
        <v>1.8</v>
      </c>
      <c r="I2439" t="s">
        <v>33</v>
      </c>
      <c r="J2439" t="s">
        <v>33</v>
      </c>
      <c r="L2439">
        <f t="shared" si="76"/>
        <v>2022</v>
      </c>
      <c r="M2439" t="str">
        <f t="shared" si="77"/>
        <v>COVID Period</v>
      </c>
    </row>
    <row r="2440" spans="1:13" x14ac:dyDescent="0.25">
      <c r="A2440" s="2">
        <v>44781</v>
      </c>
      <c r="B2440" t="s">
        <v>40</v>
      </c>
      <c r="C2440">
        <v>16</v>
      </c>
      <c r="D2440" s="3">
        <v>0.63</v>
      </c>
      <c r="E2440" s="3">
        <v>10.08</v>
      </c>
      <c r="F2440">
        <v>25</v>
      </c>
      <c r="G2440">
        <v>13</v>
      </c>
      <c r="H2440" s="4">
        <v>2.2999999999999998</v>
      </c>
      <c r="I2440" t="s">
        <v>33</v>
      </c>
      <c r="J2440" t="s">
        <v>33</v>
      </c>
      <c r="L2440">
        <f t="shared" si="76"/>
        <v>2022</v>
      </c>
      <c r="M2440" t="str">
        <f t="shared" si="77"/>
        <v>COVID Period</v>
      </c>
    </row>
    <row r="2441" spans="1:13" x14ac:dyDescent="0.25">
      <c r="A2441" s="2">
        <v>44781</v>
      </c>
      <c r="B2441" t="s">
        <v>41</v>
      </c>
      <c r="C2441">
        <v>9</v>
      </c>
      <c r="D2441" s="3">
        <v>1.32</v>
      </c>
      <c r="E2441" s="3">
        <v>11.88</v>
      </c>
      <c r="F2441">
        <v>11</v>
      </c>
      <c r="G2441">
        <v>3</v>
      </c>
      <c r="H2441" s="4">
        <v>4.5999999999999996</v>
      </c>
      <c r="I2441" t="s">
        <v>33</v>
      </c>
      <c r="J2441" t="s">
        <v>33</v>
      </c>
      <c r="L2441">
        <f t="shared" si="76"/>
        <v>2022</v>
      </c>
      <c r="M2441" t="str">
        <f t="shared" si="77"/>
        <v>COVID Period</v>
      </c>
    </row>
    <row r="2442" spans="1:13" x14ac:dyDescent="0.25">
      <c r="A2442" s="2">
        <v>44781</v>
      </c>
      <c r="B2442" t="s">
        <v>42</v>
      </c>
      <c r="C2442">
        <v>12</v>
      </c>
      <c r="D2442" s="3">
        <v>4.3600000000000003</v>
      </c>
      <c r="E2442" s="3">
        <v>52.32</v>
      </c>
      <c r="F2442">
        <v>13</v>
      </c>
      <c r="G2442">
        <v>1</v>
      </c>
      <c r="H2442" s="4">
        <v>2.2999999999999998</v>
      </c>
      <c r="I2442" t="s">
        <v>33</v>
      </c>
      <c r="J2442" t="s">
        <v>33</v>
      </c>
      <c r="L2442">
        <f t="shared" si="76"/>
        <v>2022</v>
      </c>
      <c r="M2442" t="str">
        <f t="shared" si="77"/>
        <v>COVID Period</v>
      </c>
    </row>
    <row r="2443" spans="1:13" x14ac:dyDescent="0.25">
      <c r="A2443" s="2">
        <v>44781</v>
      </c>
      <c r="B2443" t="s">
        <v>43</v>
      </c>
      <c r="C2443">
        <v>6</v>
      </c>
      <c r="D2443" s="3">
        <v>5.67</v>
      </c>
      <c r="E2443" s="3">
        <v>34.020000000000003</v>
      </c>
      <c r="F2443">
        <v>6</v>
      </c>
      <c r="G2443">
        <v>1</v>
      </c>
      <c r="H2443" s="4">
        <v>3.5</v>
      </c>
      <c r="I2443" t="s">
        <v>33</v>
      </c>
      <c r="J2443" t="s">
        <v>46</v>
      </c>
      <c r="L2443">
        <f t="shared" si="76"/>
        <v>2022</v>
      </c>
      <c r="M2443" t="str">
        <f t="shared" si="77"/>
        <v>COVID Period</v>
      </c>
    </row>
    <row r="2444" spans="1:13" x14ac:dyDescent="0.25">
      <c r="A2444" s="2">
        <v>44781</v>
      </c>
      <c r="B2444" t="s">
        <v>44</v>
      </c>
      <c r="C2444">
        <v>0</v>
      </c>
      <c r="D2444" s="3">
        <v>5.01</v>
      </c>
      <c r="E2444" s="3">
        <v>0</v>
      </c>
      <c r="F2444">
        <v>3</v>
      </c>
      <c r="G2444">
        <v>3</v>
      </c>
      <c r="H2444" s="4">
        <v>1.9</v>
      </c>
      <c r="I2444" t="s">
        <v>33</v>
      </c>
      <c r="J2444" t="s">
        <v>33</v>
      </c>
      <c r="L2444">
        <f t="shared" si="76"/>
        <v>2022</v>
      </c>
      <c r="M2444" t="str">
        <f t="shared" si="77"/>
        <v>COVID Period</v>
      </c>
    </row>
    <row r="2445" spans="1:13" x14ac:dyDescent="0.25">
      <c r="A2445" s="2">
        <v>44781</v>
      </c>
      <c r="B2445" t="s">
        <v>45</v>
      </c>
      <c r="C2445">
        <v>1</v>
      </c>
      <c r="D2445" s="3">
        <v>14.69</v>
      </c>
      <c r="E2445" s="3">
        <v>14.69</v>
      </c>
      <c r="F2445">
        <v>3</v>
      </c>
      <c r="G2445">
        <v>2</v>
      </c>
      <c r="H2445" s="4">
        <v>2.7</v>
      </c>
      <c r="I2445" t="s">
        <v>46</v>
      </c>
      <c r="J2445" t="s">
        <v>33</v>
      </c>
      <c r="L2445">
        <f t="shared" si="76"/>
        <v>2022</v>
      </c>
      <c r="M2445" t="str">
        <f t="shared" si="77"/>
        <v>COVID Period</v>
      </c>
    </row>
    <row r="2446" spans="1:13" x14ac:dyDescent="0.25">
      <c r="A2446" s="2">
        <v>44788</v>
      </c>
      <c r="B2446" t="s">
        <v>32</v>
      </c>
      <c r="C2446">
        <v>9</v>
      </c>
      <c r="D2446" s="3">
        <v>7.02</v>
      </c>
      <c r="E2446" s="3">
        <v>63.18</v>
      </c>
      <c r="F2446">
        <v>14</v>
      </c>
      <c r="G2446">
        <v>6</v>
      </c>
      <c r="H2446" s="4">
        <v>0.9</v>
      </c>
      <c r="I2446" t="s">
        <v>33</v>
      </c>
      <c r="J2446" t="s">
        <v>33</v>
      </c>
      <c r="L2446">
        <f t="shared" si="76"/>
        <v>2022</v>
      </c>
      <c r="M2446" t="str">
        <f t="shared" si="77"/>
        <v>COVID Period</v>
      </c>
    </row>
    <row r="2447" spans="1:13" x14ac:dyDescent="0.25">
      <c r="A2447" s="2">
        <v>44788</v>
      </c>
      <c r="B2447" t="s">
        <v>34</v>
      </c>
      <c r="C2447">
        <v>17</v>
      </c>
      <c r="D2447" s="3">
        <v>7.34</v>
      </c>
      <c r="E2447" s="3">
        <v>124.78</v>
      </c>
      <c r="F2447">
        <v>25</v>
      </c>
      <c r="G2447">
        <v>12</v>
      </c>
      <c r="H2447" s="4">
        <v>0.5</v>
      </c>
      <c r="I2447" t="s">
        <v>33</v>
      </c>
      <c r="J2447" t="s">
        <v>33</v>
      </c>
      <c r="L2447">
        <f t="shared" si="76"/>
        <v>2022</v>
      </c>
      <c r="M2447" t="str">
        <f t="shared" si="77"/>
        <v>COVID Period</v>
      </c>
    </row>
    <row r="2448" spans="1:13" x14ac:dyDescent="0.25">
      <c r="A2448" s="2">
        <v>44788</v>
      </c>
      <c r="B2448" t="s">
        <v>35</v>
      </c>
      <c r="C2448">
        <v>10</v>
      </c>
      <c r="D2448" s="3">
        <v>6.05</v>
      </c>
      <c r="E2448" s="3">
        <v>60.5</v>
      </c>
      <c r="F2448">
        <v>13</v>
      </c>
      <c r="G2448">
        <v>4</v>
      </c>
      <c r="H2448" s="4">
        <v>2.4</v>
      </c>
      <c r="I2448" t="s">
        <v>33</v>
      </c>
      <c r="J2448" t="s">
        <v>33</v>
      </c>
      <c r="L2448">
        <f t="shared" si="76"/>
        <v>2022</v>
      </c>
      <c r="M2448" t="str">
        <f t="shared" si="77"/>
        <v>COVID Period</v>
      </c>
    </row>
    <row r="2449" spans="1:13" x14ac:dyDescent="0.25">
      <c r="A2449" s="2">
        <v>44788</v>
      </c>
      <c r="B2449" t="s">
        <v>36</v>
      </c>
      <c r="C2449">
        <v>8</v>
      </c>
      <c r="D2449" s="3">
        <v>6.08</v>
      </c>
      <c r="E2449" s="3">
        <v>48.64</v>
      </c>
      <c r="F2449">
        <v>12</v>
      </c>
      <c r="G2449">
        <v>4</v>
      </c>
      <c r="H2449" s="4">
        <v>1.7</v>
      </c>
      <c r="I2449" t="s">
        <v>33</v>
      </c>
      <c r="J2449" t="s">
        <v>33</v>
      </c>
      <c r="L2449">
        <f t="shared" si="76"/>
        <v>2022</v>
      </c>
      <c r="M2449" t="str">
        <f t="shared" si="77"/>
        <v>COVID Period</v>
      </c>
    </row>
    <row r="2450" spans="1:13" x14ac:dyDescent="0.25">
      <c r="A2450" s="2">
        <v>44788</v>
      </c>
      <c r="B2450" t="s">
        <v>37</v>
      </c>
      <c r="C2450">
        <v>21</v>
      </c>
      <c r="D2450" s="3">
        <v>3.34</v>
      </c>
      <c r="E2450" s="3">
        <v>70.14</v>
      </c>
      <c r="F2450">
        <v>29</v>
      </c>
      <c r="G2450">
        <v>12</v>
      </c>
      <c r="H2450" s="4">
        <v>1.3</v>
      </c>
      <c r="I2450" t="s">
        <v>33</v>
      </c>
      <c r="J2450" t="s">
        <v>33</v>
      </c>
      <c r="L2450">
        <f t="shared" si="76"/>
        <v>2022</v>
      </c>
      <c r="M2450" t="str">
        <f t="shared" si="77"/>
        <v>COVID Period</v>
      </c>
    </row>
    <row r="2451" spans="1:13" x14ac:dyDescent="0.25">
      <c r="A2451" s="2">
        <v>44788</v>
      </c>
      <c r="B2451" t="s">
        <v>38</v>
      </c>
      <c r="C2451">
        <v>11</v>
      </c>
      <c r="D2451" s="3">
        <v>8.1999999999999993</v>
      </c>
      <c r="E2451" s="3">
        <v>90.2</v>
      </c>
      <c r="F2451">
        <v>16</v>
      </c>
      <c r="G2451">
        <v>8</v>
      </c>
      <c r="H2451" s="4">
        <v>1.3</v>
      </c>
      <c r="I2451" t="s">
        <v>33</v>
      </c>
      <c r="J2451" t="s">
        <v>33</v>
      </c>
      <c r="L2451">
        <f t="shared" si="76"/>
        <v>2022</v>
      </c>
      <c r="M2451" t="str">
        <f t="shared" si="77"/>
        <v>COVID Period</v>
      </c>
    </row>
    <row r="2452" spans="1:13" x14ac:dyDescent="0.25">
      <c r="A2452" s="2">
        <v>44788</v>
      </c>
      <c r="B2452" t="s">
        <v>39</v>
      </c>
      <c r="C2452">
        <v>20</v>
      </c>
      <c r="D2452" s="3">
        <v>11.5</v>
      </c>
      <c r="E2452" s="3">
        <v>230</v>
      </c>
      <c r="F2452">
        <v>30</v>
      </c>
      <c r="G2452">
        <v>11</v>
      </c>
      <c r="H2452" s="4">
        <v>2.2000000000000002</v>
      </c>
      <c r="I2452" t="s">
        <v>33</v>
      </c>
      <c r="J2452" t="s">
        <v>33</v>
      </c>
      <c r="L2452">
        <f t="shared" si="76"/>
        <v>2022</v>
      </c>
      <c r="M2452" t="str">
        <f t="shared" si="77"/>
        <v>COVID Period</v>
      </c>
    </row>
    <row r="2453" spans="1:13" x14ac:dyDescent="0.25">
      <c r="A2453" s="2">
        <v>44788</v>
      </c>
      <c r="B2453" t="s">
        <v>40</v>
      </c>
      <c r="C2453">
        <v>15</v>
      </c>
      <c r="D2453" s="3">
        <v>0.64</v>
      </c>
      <c r="E2453" s="3">
        <v>9.6</v>
      </c>
      <c r="F2453">
        <v>21</v>
      </c>
      <c r="G2453">
        <v>9</v>
      </c>
      <c r="H2453" s="4">
        <v>4.7</v>
      </c>
      <c r="I2453" t="s">
        <v>33</v>
      </c>
      <c r="J2453" t="s">
        <v>33</v>
      </c>
      <c r="L2453">
        <f t="shared" si="76"/>
        <v>2022</v>
      </c>
      <c r="M2453" t="str">
        <f t="shared" si="77"/>
        <v>COVID Period</v>
      </c>
    </row>
    <row r="2454" spans="1:13" x14ac:dyDescent="0.25">
      <c r="A2454" s="2">
        <v>44788</v>
      </c>
      <c r="B2454" t="s">
        <v>41</v>
      </c>
      <c r="C2454">
        <v>10</v>
      </c>
      <c r="D2454" s="3">
        <v>1.31</v>
      </c>
      <c r="E2454" s="3">
        <v>13.1</v>
      </c>
      <c r="F2454">
        <v>15</v>
      </c>
      <c r="G2454">
        <v>5</v>
      </c>
      <c r="H2454" s="4">
        <v>2.5</v>
      </c>
      <c r="I2454" t="s">
        <v>33</v>
      </c>
      <c r="J2454" t="s">
        <v>33</v>
      </c>
      <c r="L2454">
        <f t="shared" si="76"/>
        <v>2022</v>
      </c>
      <c r="M2454" t="str">
        <f t="shared" si="77"/>
        <v>COVID Period</v>
      </c>
    </row>
    <row r="2455" spans="1:13" x14ac:dyDescent="0.25">
      <c r="A2455" s="2">
        <v>44788</v>
      </c>
      <c r="B2455" t="s">
        <v>42</v>
      </c>
      <c r="C2455">
        <v>15</v>
      </c>
      <c r="D2455" s="3">
        <v>4.38</v>
      </c>
      <c r="E2455" s="3">
        <v>65.7</v>
      </c>
      <c r="F2455">
        <v>18</v>
      </c>
      <c r="G2455">
        <v>5</v>
      </c>
      <c r="H2455" s="4">
        <v>2.9</v>
      </c>
      <c r="I2455" t="s">
        <v>33</v>
      </c>
      <c r="J2455" t="s">
        <v>33</v>
      </c>
      <c r="L2455">
        <f t="shared" si="76"/>
        <v>2022</v>
      </c>
      <c r="M2455" t="str">
        <f t="shared" si="77"/>
        <v>COVID Period</v>
      </c>
    </row>
    <row r="2456" spans="1:13" x14ac:dyDescent="0.25">
      <c r="A2456" s="2">
        <v>44788</v>
      </c>
      <c r="B2456" t="s">
        <v>43</v>
      </c>
      <c r="C2456">
        <v>6</v>
      </c>
      <c r="D2456" s="3">
        <v>5.34</v>
      </c>
      <c r="E2456" s="3">
        <v>32.04</v>
      </c>
      <c r="F2456">
        <v>8</v>
      </c>
      <c r="G2456">
        <v>3</v>
      </c>
      <c r="H2456" s="4">
        <v>3.1</v>
      </c>
      <c r="I2456" t="s">
        <v>33</v>
      </c>
      <c r="J2456" t="s">
        <v>33</v>
      </c>
      <c r="L2456">
        <f t="shared" si="76"/>
        <v>2022</v>
      </c>
      <c r="M2456" t="str">
        <f t="shared" si="77"/>
        <v>COVID Period</v>
      </c>
    </row>
    <row r="2457" spans="1:13" x14ac:dyDescent="0.25">
      <c r="A2457" s="2">
        <v>44788</v>
      </c>
      <c r="B2457" t="s">
        <v>44</v>
      </c>
      <c r="C2457">
        <v>1</v>
      </c>
      <c r="D2457" s="3">
        <v>4.8600000000000003</v>
      </c>
      <c r="E2457" s="3">
        <v>4.8600000000000003</v>
      </c>
      <c r="F2457">
        <v>3</v>
      </c>
      <c r="G2457">
        <v>3</v>
      </c>
      <c r="H2457" s="4">
        <v>2.2999999999999998</v>
      </c>
      <c r="I2457" t="s">
        <v>46</v>
      </c>
      <c r="J2457" t="s">
        <v>33</v>
      </c>
      <c r="K2457" t="s">
        <v>47</v>
      </c>
      <c r="L2457">
        <f t="shared" si="76"/>
        <v>2022</v>
      </c>
      <c r="M2457" t="str">
        <f t="shared" si="77"/>
        <v>COVID Period</v>
      </c>
    </row>
    <row r="2458" spans="1:13" x14ac:dyDescent="0.25">
      <c r="A2458" s="2">
        <v>44788</v>
      </c>
      <c r="B2458" t="s">
        <v>45</v>
      </c>
      <c r="C2458">
        <v>1</v>
      </c>
      <c r="D2458" s="3">
        <v>15.1</v>
      </c>
      <c r="E2458" s="3">
        <v>15.1</v>
      </c>
      <c r="F2458">
        <v>3</v>
      </c>
      <c r="G2458">
        <v>3</v>
      </c>
      <c r="H2458" s="4">
        <v>2.5</v>
      </c>
      <c r="I2458" t="s">
        <v>46</v>
      </c>
      <c r="J2458" t="s">
        <v>33</v>
      </c>
      <c r="L2458">
        <f t="shared" si="76"/>
        <v>2022</v>
      </c>
      <c r="M2458" t="str">
        <f t="shared" si="77"/>
        <v>COVID Period</v>
      </c>
    </row>
    <row r="2459" spans="1:13" x14ac:dyDescent="0.25">
      <c r="A2459" s="2">
        <v>44795</v>
      </c>
      <c r="B2459" t="s">
        <v>32</v>
      </c>
      <c r="C2459">
        <v>11</v>
      </c>
      <c r="D2459" s="3">
        <v>6.93</v>
      </c>
      <c r="E2459" s="3">
        <v>76.23</v>
      </c>
      <c r="F2459">
        <v>15</v>
      </c>
      <c r="G2459">
        <v>4</v>
      </c>
      <c r="H2459" s="4">
        <v>2.1</v>
      </c>
      <c r="I2459" t="s">
        <v>33</v>
      </c>
      <c r="J2459" t="s">
        <v>33</v>
      </c>
      <c r="L2459">
        <f t="shared" si="76"/>
        <v>2022</v>
      </c>
      <c r="M2459" t="str">
        <f t="shared" si="77"/>
        <v>COVID Period</v>
      </c>
    </row>
    <row r="2460" spans="1:13" x14ac:dyDescent="0.25">
      <c r="A2460" s="2">
        <v>44795</v>
      </c>
      <c r="B2460" t="s">
        <v>34</v>
      </c>
      <c r="C2460">
        <v>15</v>
      </c>
      <c r="D2460" s="3">
        <v>7.35</v>
      </c>
      <c r="E2460" s="3">
        <v>110.25</v>
      </c>
      <c r="F2460">
        <v>18</v>
      </c>
      <c r="G2460">
        <v>5</v>
      </c>
      <c r="H2460" s="4">
        <v>0.6</v>
      </c>
      <c r="I2460" t="s">
        <v>33</v>
      </c>
      <c r="J2460" t="s">
        <v>33</v>
      </c>
      <c r="L2460">
        <f t="shared" si="76"/>
        <v>2022</v>
      </c>
      <c r="M2460" t="str">
        <f t="shared" si="77"/>
        <v>COVID Period</v>
      </c>
    </row>
    <row r="2461" spans="1:13" x14ac:dyDescent="0.25">
      <c r="A2461" s="2">
        <v>44795</v>
      </c>
      <c r="B2461" t="s">
        <v>35</v>
      </c>
      <c r="C2461">
        <v>7</v>
      </c>
      <c r="D2461" s="3">
        <v>6.13</v>
      </c>
      <c r="E2461" s="3">
        <v>42.91</v>
      </c>
      <c r="F2461">
        <v>11</v>
      </c>
      <c r="G2461">
        <v>5</v>
      </c>
      <c r="H2461" s="4">
        <v>0.7</v>
      </c>
      <c r="I2461" t="s">
        <v>33</v>
      </c>
      <c r="J2461" t="s">
        <v>33</v>
      </c>
      <c r="L2461">
        <f t="shared" si="76"/>
        <v>2022</v>
      </c>
      <c r="M2461" t="str">
        <f t="shared" si="77"/>
        <v>COVID Period</v>
      </c>
    </row>
    <row r="2462" spans="1:13" x14ac:dyDescent="0.25">
      <c r="A2462" s="2">
        <v>44795</v>
      </c>
      <c r="B2462" t="s">
        <v>36</v>
      </c>
      <c r="C2462">
        <v>8</v>
      </c>
      <c r="D2462" s="3">
        <v>6.15</v>
      </c>
      <c r="E2462" s="3">
        <v>49.2</v>
      </c>
      <c r="F2462">
        <v>9</v>
      </c>
      <c r="G2462">
        <v>3</v>
      </c>
      <c r="H2462" s="4">
        <v>1.7</v>
      </c>
      <c r="I2462" t="s">
        <v>33</v>
      </c>
      <c r="J2462" t="s">
        <v>33</v>
      </c>
      <c r="L2462">
        <f t="shared" si="76"/>
        <v>2022</v>
      </c>
      <c r="M2462" t="str">
        <f t="shared" si="77"/>
        <v>COVID Period</v>
      </c>
    </row>
    <row r="2463" spans="1:13" x14ac:dyDescent="0.25">
      <c r="A2463" s="2">
        <v>44795</v>
      </c>
      <c r="B2463" t="s">
        <v>37</v>
      </c>
      <c r="C2463">
        <v>21</v>
      </c>
      <c r="D2463" s="3">
        <v>3.32</v>
      </c>
      <c r="E2463" s="3">
        <v>69.72</v>
      </c>
      <c r="F2463">
        <v>31</v>
      </c>
      <c r="G2463">
        <v>15</v>
      </c>
      <c r="H2463" s="4">
        <v>3.3</v>
      </c>
      <c r="I2463" t="s">
        <v>33</v>
      </c>
      <c r="J2463" t="s">
        <v>33</v>
      </c>
      <c r="L2463">
        <f t="shared" si="76"/>
        <v>2022</v>
      </c>
      <c r="M2463" t="str">
        <f t="shared" si="77"/>
        <v>COVID Period</v>
      </c>
    </row>
    <row r="2464" spans="1:13" x14ac:dyDescent="0.25">
      <c r="A2464" s="2">
        <v>44795</v>
      </c>
      <c r="B2464" t="s">
        <v>38</v>
      </c>
      <c r="C2464">
        <v>10</v>
      </c>
      <c r="D2464" s="3">
        <v>8.5500000000000007</v>
      </c>
      <c r="E2464" s="3">
        <v>85.5</v>
      </c>
      <c r="F2464">
        <v>12</v>
      </c>
      <c r="G2464">
        <v>3</v>
      </c>
      <c r="H2464" s="4">
        <v>0.6</v>
      </c>
      <c r="I2464" t="s">
        <v>33</v>
      </c>
      <c r="J2464" t="s">
        <v>33</v>
      </c>
      <c r="L2464">
        <f t="shared" si="76"/>
        <v>2022</v>
      </c>
      <c r="M2464" t="str">
        <f t="shared" si="77"/>
        <v>COVID Period</v>
      </c>
    </row>
    <row r="2465" spans="1:13" x14ac:dyDescent="0.25">
      <c r="A2465" s="2">
        <v>44795</v>
      </c>
      <c r="B2465" t="s">
        <v>39</v>
      </c>
      <c r="C2465">
        <v>18</v>
      </c>
      <c r="D2465" s="3">
        <v>12.03</v>
      </c>
      <c r="E2465" s="3">
        <v>216.54</v>
      </c>
      <c r="F2465">
        <v>29</v>
      </c>
      <c r="G2465">
        <v>13</v>
      </c>
      <c r="H2465" s="4">
        <v>1.9</v>
      </c>
      <c r="I2465" t="s">
        <v>33</v>
      </c>
      <c r="J2465" t="s">
        <v>33</v>
      </c>
      <c r="L2465">
        <f t="shared" si="76"/>
        <v>2022</v>
      </c>
      <c r="M2465" t="str">
        <f t="shared" si="77"/>
        <v>COVID Period</v>
      </c>
    </row>
    <row r="2466" spans="1:13" x14ac:dyDescent="0.25">
      <c r="A2466" s="2">
        <v>44795</v>
      </c>
      <c r="B2466" t="s">
        <v>40</v>
      </c>
      <c r="C2466">
        <v>21</v>
      </c>
      <c r="D2466" s="3">
        <v>0.68</v>
      </c>
      <c r="E2466" s="3">
        <v>14.28</v>
      </c>
      <c r="F2466">
        <v>22</v>
      </c>
      <c r="G2466">
        <v>1</v>
      </c>
      <c r="H2466" s="4">
        <v>1.3</v>
      </c>
      <c r="I2466" t="s">
        <v>33</v>
      </c>
      <c r="J2466" t="s">
        <v>33</v>
      </c>
      <c r="L2466">
        <f t="shared" si="76"/>
        <v>2022</v>
      </c>
      <c r="M2466" t="str">
        <f t="shared" si="77"/>
        <v>COVID Period</v>
      </c>
    </row>
    <row r="2467" spans="1:13" x14ac:dyDescent="0.25">
      <c r="A2467" s="2">
        <v>44795</v>
      </c>
      <c r="B2467" t="s">
        <v>41</v>
      </c>
      <c r="C2467">
        <v>11</v>
      </c>
      <c r="D2467" s="3">
        <v>1.34</v>
      </c>
      <c r="E2467" s="3">
        <v>14.74</v>
      </c>
      <c r="F2467">
        <v>13</v>
      </c>
      <c r="G2467">
        <v>3</v>
      </c>
      <c r="H2467" s="4">
        <v>0.6</v>
      </c>
      <c r="I2467" t="s">
        <v>33</v>
      </c>
      <c r="J2467" t="s">
        <v>33</v>
      </c>
      <c r="L2467">
        <f t="shared" si="76"/>
        <v>2022</v>
      </c>
      <c r="M2467" t="str">
        <f t="shared" si="77"/>
        <v>COVID Period</v>
      </c>
    </row>
    <row r="2468" spans="1:13" x14ac:dyDescent="0.25">
      <c r="A2468" s="2">
        <v>44795</v>
      </c>
      <c r="B2468" t="s">
        <v>42</v>
      </c>
      <c r="C2468">
        <v>15</v>
      </c>
      <c r="D2468" s="3">
        <v>4.1100000000000003</v>
      </c>
      <c r="E2468" s="3">
        <v>61.65</v>
      </c>
      <c r="F2468">
        <v>20</v>
      </c>
      <c r="G2468">
        <v>8</v>
      </c>
      <c r="H2468" s="4">
        <v>2.9</v>
      </c>
      <c r="I2468" t="s">
        <v>33</v>
      </c>
      <c r="J2468" t="s">
        <v>33</v>
      </c>
      <c r="L2468">
        <f t="shared" si="76"/>
        <v>2022</v>
      </c>
      <c r="M2468" t="str">
        <f t="shared" si="77"/>
        <v>COVID Period</v>
      </c>
    </row>
    <row r="2469" spans="1:13" x14ac:dyDescent="0.25">
      <c r="A2469" s="2">
        <v>44795</v>
      </c>
      <c r="B2469" t="s">
        <v>43</v>
      </c>
      <c r="C2469">
        <v>7</v>
      </c>
      <c r="D2469" s="3">
        <v>5.77</v>
      </c>
      <c r="E2469" s="3">
        <v>40.39</v>
      </c>
      <c r="F2469">
        <v>11</v>
      </c>
      <c r="G2469">
        <v>5</v>
      </c>
      <c r="H2469" s="4">
        <v>6.7</v>
      </c>
      <c r="I2469" t="s">
        <v>33</v>
      </c>
      <c r="J2469" t="s">
        <v>33</v>
      </c>
      <c r="L2469">
        <f t="shared" si="76"/>
        <v>2022</v>
      </c>
      <c r="M2469" t="str">
        <f t="shared" si="77"/>
        <v>COVID Period</v>
      </c>
    </row>
    <row r="2470" spans="1:13" x14ac:dyDescent="0.25">
      <c r="A2470" s="2">
        <v>44795</v>
      </c>
      <c r="B2470" t="s">
        <v>44</v>
      </c>
      <c r="C2470">
        <v>0</v>
      </c>
      <c r="D2470" s="3">
        <v>5.0199999999999996</v>
      </c>
      <c r="E2470" s="3">
        <v>0</v>
      </c>
      <c r="F2470">
        <v>3</v>
      </c>
      <c r="G2470">
        <v>4</v>
      </c>
      <c r="H2470" s="4">
        <v>1.7</v>
      </c>
      <c r="I2470" t="s">
        <v>33</v>
      </c>
      <c r="J2470" t="s">
        <v>33</v>
      </c>
      <c r="L2470">
        <f t="shared" si="76"/>
        <v>2022</v>
      </c>
      <c r="M2470" t="str">
        <f t="shared" si="77"/>
        <v>COVID Period</v>
      </c>
    </row>
    <row r="2471" spans="1:13" x14ac:dyDescent="0.25">
      <c r="A2471" s="2">
        <v>44795</v>
      </c>
      <c r="B2471" t="s">
        <v>45</v>
      </c>
      <c r="C2471">
        <v>0</v>
      </c>
      <c r="D2471" s="3">
        <v>15.07</v>
      </c>
      <c r="E2471" s="3">
        <v>0</v>
      </c>
      <c r="F2471">
        <v>3</v>
      </c>
      <c r="G2471">
        <v>3</v>
      </c>
      <c r="H2471" s="4">
        <v>1.8</v>
      </c>
      <c r="I2471" t="s">
        <v>33</v>
      </c>
      <c r="J2471" t="s">
        <v>33</v>
      </c>
      <c r="L2471">
        <f t="shared" si="76"/>
        <v>2022</v>
      </c>
      <c r="M2471" t="str">
        <f t="shared" si="77"/>
        <v>COVID Period</v>
      </c>
    </row>
    <row r="2472" spans="1:13" x14ac:dyDescent="0.25">
      <c r="A2472" s="2">
        <v>44802</v>
      </c>
      <c r="B2472" t="s">
        <v>32</v>
      </c>
      <c r="C2472">
        <v>16</v>
      </c>
      <c r="D2472" s="3">
        <v>7.05</v>
      </c>
      <c r="E2472" s="3">
        <v>112.8</v>
      </c>
      <c r="F2472">
        <v>25</v>
      </c>
      <c r="G2472">
        <v>11</v>
      </c>
      <c r="H2472" s="4">
        <v>1.8</v>
      </c>
      <c r="I2472" t="s">
        <v>33</v>
      </c>
      <c r="J2472" t="s">
        <v>33</v>
      </c>
      <c r="L2472">
        <f t="shared" si="76"/>
        <v>2022</v>
      </c>
      <c r="M2472" t="str">
        <f t="shared" si="77"/>
        <v>COVID Period</v>
      </c>
    </row>
    <row r="2473" spans="1:13" x14ac:dyDescent="0.25">
      <c r="A2473" s="2">
        <v>44802</v>
      </c>
      <c r="B2473" t="s">
        <v>34</v>
      </c>
      <c r="C2473">
        <v>12</v>
      </c>
      <c r="D2473" s="3">
        <v>7.26</v>
      </c>
      <c r="E2473" s="3">
        <v>87.12</v>
      </c>
      <c r="F2473">
        <v>15</v>
      </c>
      <c r="G2473">
        <v>6</v>
      </c>
      <c r="H2473" s="4">
        <v>0.7</v>
      </c>
      <c r="I2473" t="s">
        <v>33</v>
      </c>
      <c r="J2473" t="s">
        <v>33</v>
      </c>
      <c r="L2473">
        <f t="shared" si="76"/>
        <v>2022</v>
      </c>
      <c r="M2473" t="str">
        <f t="shared" si="77"/>
        <v>COVID Period</v>
      </c>
    </row>
    <row r="2474" spans="1:13" x14ac:dyDescent="0.25">
      <c r="A2474" s="2">
        <v>44802</v>
      </c>
      <c r="B2474" t="s">
        <v>35</v>
      </c>
      <c r="C2474">
        <v>7</v>
      </c>
      <c r="D2474" s="3">
        <v>5.79</v>
      </c>
      <c r="E2474" s="3">
        <v>40.53</v>
      </c>
      <c r="F2474">
        <v>8</v>
      </c>
      <c r="G2474">
        <v>2</v>
      </c>
      <c r="H2474" s="4">
        <v>1.5</v>
      </c>
      <c r="I2474" t="s">
        <v>33</v>
      </c>
      <c r="J2474" t="s">
        <v>33</v>
      </c>
      <c r="L2474">
        <f t="shared" si="76"/>
        <v>2022</v>
      </c>
      <c r="M2474" t="str">
        <f t="shared" si="77"/>
        <v>COVID Period</v>
      </c>
    </row>
    <row r="2475" spans="1:13" x14ac:dyDescent="0.25">
      <c r="A2475" s="2">
        <v>44802</v>
      </c>
      <c r="B2475" t="s">
        <v>36</v>
      </c>
      <c r="C2475">
        <v>11</v>
      </c>
      <c r="D2475" s="3">
        <v>6.44</v>
      </c>
      <c r="E2475" s="3">
        <v>70.84</v>
      </c>
      <c r="F2475">
        <v>16</v>
      </c>
      <c r="G2475">
        <v>7</v>
      </c>
      <c r="H2475" s="4">
        <v>1.2</v>
      </c>
      <c r="I2475" t="s">
        <v>33</v>
      </c>
      <c r="J2475" t="s">
        <v>33</v>
      </c>
      <c r="L2475">
        <f t="shared" si="76"/>
        <v>2022</v>
      </c>
      <c r="M2475" t="str">
        <f t="shared" si="77"/>
        <v>COVID Period</v>
      </c>
    </row>
    <row r="2476" spans="1:13" x14ac:dyDescent="0.25">
      <c r="A2476" s="2">
        <v>44802</v>
      </c>
      <c r="B2476" t="s">
        <v>37</v>
      </c>
      <c r="C2476">
        <v>23</v>
      </c>
      <c r="D2476" s="3">
        <v>3.12</v>
      </c>
      <c r="E2476" s="3">
        <v>71.760000000000005</v>
      </c>
      <c r="F2476">
        <v>35</v>
      </c>
      <c r="G2476">
        <v>16</v>
      </c>
      <c r="H2476" s="4">
        <v>1.3</v>
      </c>
      <c r="I2476" t="s">
        <v>33</v>
      </c>
      <c r="J2476" t="s">
        <v>33</v>
      </c>
      <c r="L2476">
        <f t="shared" si="76"/>
        <v>2022</v>
      </c>
      <c r="M2476" t="str">
        <f t="shared" si="77"/>
        <v>COVID Period</v>
      </c>
    </row>
    <row r="2477" spans="1:13" x14ac:dyDescent="0.25">
      <c r="A2477" s="2">
        <v>44802</v>
      </c>
      <c r="B2477" t="s">
        <v>38</v>
      </c>
      <c r="C2477">
        <v>9</v>
      </c>
      <c r="D2477" s="3">
        <v>8.82</v>
      </c>
      <c r="E2477" s="3">
        <v>79.38</v>
      </c>
      <c r="F2477">
        <v>11</v>
      </c>
      <c r="G2477">
        <v>3</v>
      </c>
      <c r="H2477" s="4">
        <v>1.1000000000000001</v>
      </c>
      <c r="I2477" t="s">
        <v>33</v>
      </c>
      <c r="J2477" t="s">
        <v>33</v>
      </c>
      <c r="L2477">
        <f t="shared" si="76"/>
        <v>2022</v>
      </c>
      <c r="M2477" t="str">
        <f t="shared" si="77"/>
        <v>COVID Period</v>
      </c>
    </row>
    <row r="2478" spans="1:13" x14ac:dyDescent="0.25">
      <c r="A2478" s="2">
        <v>44802</v>
      </c>
      <c r="B2478" t="s">
        <v>39</v>
      </c>
      <c r="C2478">
        <v>13</v>
      </c>
      <c r="D2478" s="3">
        <v>12.05</v>
      </c>
      <c r="E2478" s="3">
        <v>156.65</v>
      </c>
      <c r="F2478">
        <v>19</v>
      </c>
      <c r="G2478">
        <v>7</v>
      </c>
      <c r="H2478" s="4">
        <v>1.6</v>
      </c>
      <c r="I2478" t="s">
        <v>33</v>
      </c>
      <c r="J2478" t="s">
        <v>33</v>
      </c>
      <c r="L2478">
        <f t="shared" si="76"/>
        <v>2022</v>
      </c>
      <c r="M2478" t="str">
        <f t="shared" si="77"/>
        <v>COVID Period</v>
      </c>
    </row>
    <row r="2479" spans="1:13" x14ac:dyDescent="0.25">
      <c r="A2479" s="2">
        <v>44802</v>
      </c>
      <c r="B2479" t="s">
        <v>40</v>
      </c>
      <c r="C2479">
        <v>18</v>
      </c>
      <c r="D2479" s="3">
        <v>0.66</v>
      </c>
      <c r="E2479" s="3">
        <v>11.88</v>
      </c>
      <c r="F2479">
        <v>28</v>
      </c>
      <c r="G2479">
        <v>13</v>
      </c>
      <c r="H2479" s="4">
        <v>0</v>
      </c>
      <c r="I2479" t="s">
        <v>33</v>
      </c>
      <c r="J2479" t="s">
        <v>33</v>
      </c>
      <c r="L2479">
        <f t="shared" si="76"/>
        <v>2022</v>
      </c>
      <c r="M2479" t="str">
        <f t="shared" si="77"/>
        <v>COVID Period</v>
      </c>
    </row>
    <row r="2480" spans="1:13" x14ac:dyDescent="0.25">
      <c r="A2480" s="2">
        <v>44802</v>
      </c>
      <c r="B2480" t="s">
        <v>41</v>
      </c>
      <c r="C2480">
        <v>9</v>
      </c>
      <c r="D2480" s="3">
        <v>1.32</v>
      </c>
      <c r="E2480" s="3">
        <v>11.88</v>
      </c>
      <c r="F2480">
        <v>14</v>
      </c>
      <c r="G2480">
        <v>6</v>
      </c>
      <c r="H2480" s="4">
        <v>4.3</v>
      </c>
      <c r="I2480" t="s">
        <v>33</v>
      </c>
      <c r="J2480" t="s">
        <v>33</v>
      </c>
      <c r="L2480">
        <f t="shared" si="76"/>
        <v>2022</v>
      </c>
      <c r="M2480" t="str">
        <f t="shared" si="77"/>
        <v>COVID Period</v>
      </c>
    </row>
    <row r="2481" spans="1:13" x14ac:dyDescent="0.25">
      <c r="A2481" s="2">
        <v>44802</v>
      </c>
      <c r="B2481" t="s">
        <v>42</v>
      </c>
      <c r="C2481">
        <v>8</v>
      </c>
      <c r="D2481" s="3">
        <v>4.1100000000000003</v>
      </c>
      <c r="E2481" s="3">
        <v>32.880000000000003</v>
      </c>
      <c r="F2481">
        <v>10</v>
      </c>
      <c r="G2481">
        <v>2</v>
      </c>
      <c r="H2481" s="4">
        <v>2.8</v>
      </c>
      <c r="I2481" t="s">
        <v>33</v>
      </c>
      <c r="J2481" t="s">
        <v>33</v>
      </c>
      <c r="L2481">
        <f t="shared" si="76"/>
        <v>2022</v>
      </c>
      <c r="M2481" t="str">
        <f t="shared" si="77"/>
        <v>COVID Period</v>
      </c>
    </row>
    <row r="2482" spans="1:13" x14ac:dyDescent="0.25">
      <c r="A2482" s="2">
        <v>44802</v>
      </c>
      <c r="B2482" t="s">
        <v>43</v>
      </c>
      <c r="C2482">
        <v>12</v>
      </c>
      <c r="D2482" s="3">
        <v>5.59</v>
      </c>
      <c r="E2482" s="3">
        <v>67.08</v>
      </c>
      <c r="F2482">
        <v>20</v>
      </c>
      <c r="G2482">
        <v>9</v>
      </c>
      <c r="H2482" s="4">
        <v>2.8</v>
      </c>
      <c r="I2482" t="s">
        <v>33</v>
      </c>
      <c r="J2482" t="s">
        <v>33</v>
      </c>
      <c r="L2482">
        <f t="shared" si="76"/>
        <v>2022</v>
      </c>
      <c r="M2482" t="str">
        <f t="shared" si="77"/>
        <v>COVID Period</v>
      </c>
    </row>
    <row r="2483" spans="1:13" x14ac:dyDescent="0.25">
      <c r="A2483" s="2">
        <v>44802</v>
      </c>
      <c r="B2483" t="s">
        <v>44</v>
      </c>
      <c r="C2483">
        <v>0</v>
      </c>
      <c r="D2483" s="3">
        <v>4.95</v>
      </c>
      <c r="E2483" s="3">
        <v>0</v>
      </c>
      <c r="F2483">
        <v>3</v>
      </c>
      <c r="G2483">
        <v>3</v>
      </c>
      <c r="H2483" s="4">
        <v>1.9</v>
      </c>
      <c r="I2483" t="s">
        <v>33</v>
      </c>
      <c r="J2483" t="s">
        <v>33</v>
      </c>
      <c r="L2483">
        <f t="shared" si="76"/>
        <v>2022</v>
      </c>
      <c r="M2483" t="str">
        <f t="shared" si="77"/>
        <v>COVID Period</v>
      </c>
    </row>
    <row r="2484" spans="1:13" x14ac:dyDescent="0.25">
      <c r="A2484" s="2">
        <v>44802</v>
      </c>
      <c r="B2484" t="s">
        <v>45</v>
      </c>
      <c r="C2484">
        <v>0</v>
      </c>
      <c r="D2484" s="3">
        <v>15.17</v>
      </c>
      <c r="E2484" s="3">
        <v>0</v>
      </c>
      <c r="F2484">
        <v>3</v>
      </c>
      <c r="G2484">
        <v>3</v>
      </c>
      <c r="H2484" s="4">
        <v>1.5</v>
      </c>
      <c r="I2484" t="s">
        <v>33</v>
      </c>
      <c r="J2484" t="s">
        <v>33</v>
      </c>
      <c r="L2484">
        <f t="shared" si="76"/>
        <v>2022</v>
      </c>
      <c r="M2484" t="str">
        <f t="shared" si="77"/>
        <v>COVID Period</v>
      </c>
    </row>
    <row r="2485" spans="1:13" x14ac:dyDescent="0.25">
      <c r="A2485" s="2">
        <v>44809</v>
      </c>
      <c r="B2485" t="s">
        <v>32</v>
      </c>
      <c r="C2485">
        <v>17</v>
      </c>
      <c r="D2485" s="3">
        <v>7.01</v>
      </c>
      <c r="E2485" s="3">
        <v>119.17</v>
      </c>
      <c r="F2485">
        <v>25</v>
      </c>
      <c r="G2485">
        <v>12</v>
      </c>
      <c r="H2485" s="4">
        <v>3.2</v>
      </c>
      <c r="I2485" t="s">
        <v>33</v>
      </c>
      <c r="J2485" t="s">
        <v>33</v>
      </c>
      <c r="L2485">
        <f t="shared" si="76"/>
        <v>2022</v>
      </c>
      <c r="M2485" t="str">
        <f t="shared" si="77"/>
        <v>COVID Period</v>
      </c>
    </row>
    <row r="2486" spans="1:13" x14ac:dyDescent="0.25">
      <c r="A2486" s="2">
        <v>44809</v>
      </c>
      <c r="B2486" t="s">
        <v>34</v>
      </c>
      <c r="C2486">
        <v>13</v>
      </c>
      <c r="D2486" s="3">
        <v>7.26</v>
      </c>
      <c r="E2486" s="3">
        <v>94.38</v>
      </c>
      <c r="F2486">
        <v>15</v>
      </c>
      <c r="G2486">
        <v>2</v>
      </c>
      <c r="H2486" s="4">
        <v>0.6</v>
      </c>
      <c r="I2486" t="s">
        <v>33</v>
      </c>
      <c r="J2486" t="s">
        <v>33</v>
      </c>
      <c r="L2486">
        <f t="shared" si="76"/>
        <v>2022</v>
      </c>
      <c r="M2486" t="str">
        <f t="shared" si="77"/>
        <v>COVID Period</v>
      </c>
    </row>
    <row r="2487" spans="1:13" x14ac:dyDescent="0.25">
      <c r="A2487" s="2">
        <v>44809</v>
      </c>
      <c r="B2487" t="s">
        <v>35</v>
      </c>
      <c r="C2487">
        <v>11</v>
      </c>
      <c r="D2487" s="3">
        <v>5.79</v>
      </c>
      <c r="E2487" s="3">
        <v>63.69</v>
      </c>
      <c r="F2487">
        <v>16</v>
      </c>
      <c r="G2487">
        <v>8</v>
      </c>
      <c r="H2487" s="4">
        <v>2.1</v>
      </c>
      <c r="I2487" t="s">
        <v>33</v>
      </c>
      <c r="J2487" t="s">
        <v>33</v>
      </c>
      <c r="L2487">
        <f t="shared" si="76"/>
        <v>2022</v>
      </c>
      <c r="M2487" t="str">
        <f t="shared" si="77"/>
        <v>COVID Period</v>
      </c>
    </row>
    <row r="2488" spans="1:13" x14ac:dyDescent="0.25">
      <c r="A2488" s="2">
        <v>44809</v>
      </c>
      <c r="B2488" t="s">
        <v>36</v>
      </c>
      <c r="C2488">
        <v>8</v>
      </c>
      <c r="D2488" s="3">
        <v>6.01</v>
      </c>
      <c r="E2488" s="3">
        <v>48.08</v>
      </c>
      <c r="F2488">
        <v>9</v>
      </c>
      <c r="G2488">
        <v>2</v>
      </c>
      <c r="H2488" s="4">
        <v>1.9</v>
      </c>
      <c r="I2488" t="s">
        <v>33</v>
      </c>
      <c r="J2488" t="s">
        <v>33</v>
      </c>
      <c r="L2488">
        <f t="shared" si="76"/>
        <v>2022</v>
      </c>
      <c r="M2488" t="str">
        <f t="shared" si="77"/>
        <v>COVID Period</v>
      </c>
    </row>
    <row r="2489" spans="1:13" x14ac:dyDescent="0.25">
      <c r="A2489" s="2">
        <v>44809</v>
      </c>
      <c r="B2489" t="s">
        <v>37</v>
      </c>
      <c r="C2489">
        <v>27</v>
      </c>
      <c r="D2489" s="3">
        <v>3.19</v>
      </c>
      <c r="E2489" s="3">
        <v>86.13</v>
      </c>
      <c r="F2489">
        <v>28</v>
      </c>
      <c r="G2489">
        <v>3</v>
      </c>
      <c r="H2489" s="4">
        <v>2</v>
      </c>
      <c r="I2489" t="s">
        <v>33</v>
      </c>
      <c r="J2489" t="s">
        <v>33</v>
      </c>
      <c r="L2489">
        <f t="shared" si="76"/>
        <v>2022</v>
      </c>
      <c r="M2489" t="str">
        <f t="shared" si="77"/>
        <v>COVID Period</v>
      </c>
    </row>
    <row r="2490" spans="1:13" x14ac:dyDescent="0.25">
      <c r="A2490" s="2">
        <v>44809</v>
      </c>
      <c r="B2490" t="s">
        <v>38</v>
      </c>
      <c r="C2490">
        <v>12</v>
      </c>
      <c r="D2490" s="3">
        <v>8.2200000000000006</v>
      </c>
      <c r="E2490" s="3">
        <v>98.64</v>
      </c>
      <c r="F2490">
        <v>20</v>
      </c>
      <c r="G2490">
        <v>9</v>
      </c>
      <c r="H2490" s="4">
        <v>1.6</v>
      </c>
      <c r="I2490" t="s">
        <v>33</v>
      </c>
      <c r="J2490" t="s">
        <v>33</v>
      </c>
      <c r="L2490">
        <f t="shared" si="76"/>
        <v>2022</v>
      </c>
      <c r="M2490" t="str">
        <f t="shared" si="77"/>
        <v>COVID Period</v>
      </c>
    </row>
    <row r="2491" spans="1:13" x14ac:dyDescent="0.25">
      <c r="A2491" s="2">
        <v>44809</v>
      </c>
      <c r="B2491" t="s">
        <v>39</v>
      </c>
      <c r="C2491">
        <v>22</v>
      </c>
      <c r="D2491" s="3">
        <v>11.71</v>
      </c>
      <c r="E2491" s="3">
        <v>257.62</v>
      </c>
      <c r="F2491">
        <v>34</v>
      </c>
      <c r="G2491">
        <v>14</v>
      </c>
      <c r="H2491" s="4">
        <v>2.4</v>
      </c>
      <c r="I2491" t="s">
        <v>33</v>
      </c>
      <c r="J2491" t="s">
        <v>33</v>
      </c>
      <c r="L2491">
        <f t="shared" si="76"/>
        <v>2022</v>
      </c>
      <c r="M2491" t="str">
        <f t="shared" si="77"/>
        <v>COVID Period</v>
      </c>
    </row>
    <row r="2492" spans="1:13" x14ac:dyDescent="0.25">
      <c r="A2492" s="2">
        <v>44809</v>
      </c>
      <c r="B2492" t="s">
        <v>40</v>
      </c>
      <c r="C2492">
        <v>23</v>
      </c>
      <c r="D2492" s="3">
        <v>0.65</v>
      </c>
      <c r="E2492" s="3">
        <v>14.95</v>
      </c>
      <c r="F2492">
        <v>36</v>
      </c>
      <c r="G2492">
        <v>13</v>
      </c>
      <c r="H2492" s="4">
        <v>1.7</v>
      </c>
      <c r="I2492" t="s">
        <v>33</v>
      </c>
      <c r="J2492" t="s">
        <v>33</v>
      </c>
      <c r="L2492">
        <f t="shared" si="76"/>
        <v>2022</v>
      </c>
      <c r="M2492" t="str">
        <f t="shared" si="77"/>
        <v>COVID Period</v>
      </c>
    </row>
    <row r="2493" spans="1:13" x14ac:dyDescent="0.25">
      <c r="A2493" s="2">
        <v>44809</v>
      </c>
      <c r="B2493" t="s">
        <v>41</v>
      </c>
      <c r="C2493">
        <v>12</v>
      </c>
      <c r="D2493" s="3">
        <v>1.38</v>
      </c>
      <c r="E2493" s="3">
        <v>16.559999999999999</v>
      </c>
      <c r="F2493">
        <v>19</v>
      </c>
      <c r="G2493">
        <v>10</v>
      </c>
      <c r="H2493" s="4">
        <v>2.9</v>
      </c>
      <c r="I2493" t="s">
        <v>33</v>
      </c>
      <c r="J2493" t="s">
        <v>33</v>
      </c>
      <c r="L2493">
        <f t="shared" si="76"/>
        <v>2022</v>
      </c>
      <c r="M2493" t="str">
        <f t="shared" si="77"/>
        <v>COVID Period</v>
      </c>
    </row>
    <row r="2494" spans="1:13" x14ac:dyDescent="0.25">
      <c r="A2494" s="2">
        <v>44809</v>
      </c>
      <c r="B2494" t="s">
        <v>42</v>
      </c>
      <c r="C2494">
        <v>12</v>
      </c>
      <c r="D2494" s="3">
        <v>4.3</v>
      </c>
      <c r="E2494" s="3">
        <v>51.6</v>
      </c>
      <c r="F2494">
        <v>14</v>
      </c>
      <c r="G2494">
        <v>4</v>
      </c>
      <c r="H2494" s="4">
        <v>1.5</v>
      </c>
      <c r="I2494" t="s">
        <v>33</v>
      </c>
      <c r="J2494" t="s">
        <v>33</v>
      </c>
      <c r="L2494">
        <f t="shared" si="76"/>
        <v>2022</v>
      </c>
      <c r="M2494" t="str">
        <f t="shared" si="77"/>
        <v>COVID Period</v>
      </c>
    </row>
    <row r="2495" spans="1:13" x14ac:dyDescent="0.25">
      <c r="A2495" s="2">
        <v>44809</v>
      </c>
      <c r="B2495" t="s">
        <v>43</v>
      </c>
      <c r="C2495">
        <v>10</v>
      </c>
      <c r="D2495" s="3">
        <v>5.52</v>
      </c>
      <c r="E2495" s="3">
        <v>55.2</v>
      </c>
      <c r="F2495">
        <v>10</v>
      </c>
      <c r="G2495">
        <v>1</v>
      </c>
      <c r="H2495" s="4">
        <v>4.0999999999999996</v>
      </c>
      <c r="I2495" t="s">
        <v>33</v>
      </c>
      <c r="J2495" t="s">
        <v>33</v>
      </c>
      <c r="L2495">
        <f t="shared" si="76"/>
        <v>2022</v>
      </c>
      <c r="M2495" t="str">
        <f t="shared" si="77"/>
        <v>COVID Period</v>
      </c>
    </row>
    <row r="2496" spans="1:13" x14ac:dyDescent="0.25">
      <c r="A2496" s="2">
        <v>44809</v>
      </c>
      <c r="B2496" t="s">
        <v>44</v>
      </c>
      <c r="C2496">
        <v>0</v>
      </c>
      <c r="D2496" s="3">
        <v>4.87</v>
      </c>
      <c r="E2496" s="3">
        <v>0</v>
      </c>
      <c r="F2496">
        <v>3</v>
      </c>
      <c r="G2496">
        <v>3</v>
      </c>
      <c r="H2496" s="4">
        <v>1.3</v>
      </c>
      <c r="I2496" t="s">
        <v>33</v>
      </c>
      <c r="J2496" t="s">
        <v>33</v>
      </c>
      <c r="L2496">
        <f t="shared" si="76"/>
        <v>2022</v>
      </c>
      <c r="M2496" t="str">
        <f t="shared" si="77"/>
        <v>COVID Period</v>
      </c>
    </row>
    <row r="2497" spans="1:13" x14ac:dyDescent="0.25">
      <c r="A2497" s="2">
        <v>44809</v>
      </c>
      <c r="B2497" t="s">
        <v>45</v>
      </c>
      <c r="C2497">
        <v>0</v>
      </c>
      <c r="D2497" s="3">
        <v>15.63</v>
      </c>
      <c r="E2497" s="3">
        <v>0</v>
      </c>
      <c r="F2497">
        <v>3</v>
      </c>
      <c r="G2497">
        <v>3</v>
      </c>
      <c r="H2497" s="4">
        <v>3.1</v>
      </c>
      <c r="I2497" t="s">
        <v>33</v>
      </c>
      <c r="J2497" t="s">
        <v>33</v>
      </c>
      <c r="L2497">
        <f t="shared" si="76"/>
        <v>2022</v>
      </c>
      <c r="M2497" t="str">
        <f t="shared" si="77"/>
        <v>COVID Period</v>
      </c>
    </row>
    <row r="2498" spans="1:13" x14ac:dyDescent="0.25">
      <c r="A2498" s="2">
        <v>44816</v>
      </c>
      <c r="B2498" t="s">
        <v>32</v>
      </c>
      <c r="C2498">
        <v>17</v>
      </c>
      <c r="D2498" s="3">
        <v>6.89</v>
      </c>
      <c r="E2498" s="3">
        <v>117.13</v>
      </c>
      <c r="F2498">
        <v>22</v>
      </c>
      <c r="G2498">
        <v>8</v>
      </c>
      <c r="H2498" s="4">
        <v>1.4</v>
      </c>
      <c r="I2498" t="s">
        <v>33</v>
      </c>
      <c r="J2498" t="s">
        <v>33</v>
      </c>
      <c r="L2498">
        <f t="shared" ref="L2498:L2561" si="78">YEAR(A2498)</f>
        <v>2022</v>
      </c>
      <c r="M2498" t="str">
        <f t="shared" ref="M2498:M2561" si="79">IF(L2498=2019,"Pre-COVID","COVID Period")</f>
        <v>COVID Period</v>
      </c>
    </row>
    <row r="2499" spans="1:13" x14ac:dyDescent="0.25">
      <c r="A2499" s="2">
        <v>44816</v>
      </c>
      <c r="B2499" t="s">
        <v>34</v>
      </c>
      <c r="C2499">
        <v>19</v>
      </c>
      <c r="D2499" s="3">
        <v>7.19</v>
      </c>
      <c r="E2499" s="3">
        <v>136.61000000000001</v>
      </c>
      <c r="F2499">
        <v>21</v>
      </c>
      <c r="G2499">
        <v>4</v>
      </c>
      <c r="H2499" s="4">
        <v>1.5</v>
      </c>
      <c r="I2499" t="s">
        <v>33</v>
      </c>
      <c r="J2499" t="s">
        <v>33</v>
      </c>
      <c r="L2499">
        <f t="shared" si="78"/>
        <v>2022</v>
      </c>
      <c r="M2499" t="str">
        <f t="shared" si="79"/>
        <v>COVID Period</v>
      </c>
    </row>
    <row r="2500" spans="1:13" x14ac:dyDescent="0.25">
      <c r="A2500" s="2">
        <v>44816</v>
      </c>
      <c r="B2500" t="s">
        <v>35</v>
      </c>
      <c r="C2500">
        <v>9</v>
      </c>
      <c r="D2500" s="3">
        <v>5.96</v>
      </c>
      <c r="E2500" s="3">
        <v>53.64</v>
      </c>
      <c r="F2500">
        <v>14</v>
      </c>
      <c r="G2500">
        <v>7</v>
      </c>
      <c r="H2500" s="4">
        <v>1.5</v>
      </c>
      <c r="I2500" t="s">
        <v>33</v>
      </c>
      <c r="J2500" t="s">
        <v>33</v>
      </c>
      <c r="L2500">
        <f t="shared" si="78"/>
        <v>2022</v>
      </c>
      <c r="M2500" t="str">
        <f t="shared" si="79"/>
        <v>COVID Period</v>
      </c>
    </row>
    <row r="2501" spans="1:13" x14ac:dyDescent="0.25">
      <c r="A2501" s="2">
        <v>44816</v>
      </c>
      <c r="B2501" t="s">
        <v>36</v>
      </c>
      <c r="C2501">
        <v>10</v>
      </c>
      <c r="D2501" s="3">
        <v>5.95</v>
      </c>
      <c r="E2501" s="3">
        <v>59.5</v>
      </c>
      <c r="F2501">
        <v>15</v>
      </c>
      <c r="G2501">
        <v>5</v>
      </c>
      <c r="H2501" s="4">
        <v>1</v>
      </c>
      <c r="I2501" t="s">
        <v>33</v>
      </c>
      <c r="J2501" t="s">
        <v>33</v>
      </c>
      <c r="L2501">
        <f t="shared" si="78"/>
        <v>2022</v>
      </c>
      <c r="M2501" t="str">
        <f t="shared" si="79"/>
        <v>COVID Period</v>
      </c>
    </row>
    <row r="2502" spans="1:13" x14ac:dyDescent="0.25">
      <c r="A2502" s="2">
        <v>44816</v>
      </c>
      <c r="B2502" t="s">
        <v>37</v>
      </c>
      <c r="C2502">
        <v>26</v>
      </c>
      <c r="D2502" s="3">
        <v>3.34</v>
      </c>
      <c r="E2502" s="3">
        <v>86.84</v>
      </c>
      <c r="F2502">
        <v>35</v>
      </c>
      <c r="G2502">
        <v>9</v>
      </c>
      <c r="H2502" s="4">
        <v>1.8</v>
      </c>
      <c r="I2502" t="s">
        <v>33</v>
      </c>
      <c r="J2502" t="s">
        <v>33</v>
      </c>
      <c r="L2502">
        <f t="shared" si="78"/>
        <v>2022</v>
      </c>
      <c r="M2502" t="str">
        <f t="shared" si="79"/>
        <v>COVID Period</v>
      </c>
    </row>
    <row r="2503" spans="1:13" x14ac:dyDescent="0.25">
      <c r="A2503" s="2">
        <v>44816</v>
      </c>
      <c r="B2503" t="s">
        <v>38</v>
      </c>
      <c r="C2503">
        <v>11</v>
      </c>
      <c r="D2503" s="3">
        <v>8.92</v>
      </c>
      <c r="E2503" s="3">
        <v>98.12</v>
      </c>
      <c r="F2503">
        <v>15</v>
      </c>
      <c r="G2503">
        <v>6</v>
      </c>
      <c r="H2503" s="4">
        <v>0.7</v>
      </c>
      <c r="I2503" t="s">
        <v>33</v>
      </c>
      <c r="J2503" t="s">
        <v>33</v>
      </c>
      <c r="L2503">
        <f t="shared" si="78"/>
        <v>2022</v>
      </c>
      <c r="M2503" t="str">
        <f t="shared" si="79"/>
        <v>COVID Period</v>
      </c>
    </row>
    <row r="2504" spans="1:13" x14ac:dyDescent="0.25">
      <c r="A2504" s="2">
        <v>44816</v>
      </c>
      <c r="B2504" t="s">
        <v>39</v>
      </c>
      <c r="C2504">
        <v>15</v>
      </c>
      <c r="D2504" s="3">
        <v>11.78</v>
      </c>
      <c r="E2504" s="3">
        <v>176.7</v>
      </c>
      <c r="F2504">
        <v>18</v>
      </c>
      <c r="G2504">
        <v>4</v>
      </c>
      <c r="H2504" s="4">
        <v>1.7</v>
      </c>
      <c r="I2504" t="s">
        <v>33</v>
      </c>
      <c r="J2504" t="s">
        <v>33</v>
      </c>
      <c r="L2504">
        <f t="shared" si="78"/>
        <v>2022</v>
      </c>
      <c r="M2504" t="str">
        <f t="shared" si="79"/>
        <v>COVID Period</v>
      </c>
    </row>
    <row r="2505" spans="1:13" x14ac:dyDescent="0.25">
      <c r="A2505" s="2">
        <v>44816</v>
      </c>
      <c r="B2505" t="s">
        <v>40</v>
      </c>
      <c r="C2505">
        <v>14</v>
      </c>
      <c r="D2505" s="3">
        <v>0.63</v>
      </c>
      <c r="E2505" s="3">
        <v>8.82</v>
      </c>
      <c r="F2505">
        <v>22</v>
      </c>
      <c r="G2505">
        <v>11</v>
      </c>
      <c r="H2505" s="4">
        <v>2.2000000000000002</v>
      </c>
      <c r="I2505" t="s">
        <v>33</v>
      </c>
      <c r="J2505" t="s">
        <v>33</v>
      </c>
      <c r="L2505">
        <f t="shared" si="78"/>
        <v>2022</v>
      </c>
      <c r="M2505" t="str">
        <f t="shared" si="79"/>
        <v>COVID Period</v>
      </c>
    </row>
    <row r="2506" spans="1:13" x14ac:dyDescent="0.25">
      <c r="A2506" s="2">
        <v>44816</v>
      </c>
      <c r="B2506" t="s">
        <v>41</v>
      </c>
      <c r="C2506">
        <v>12</v>
      </c>
      <c r="D2506" s="3">
        <v>1.39</v>
      </c>
      <c r="E2506" s="3">
        <v>16.68</v>
      </c>
      <c r="F2506">
        <v>16</v>
      </c>
      <c r="G2506">
        <v>6</v>
      </c>
      <c r="H2506" s="4">
        <v>3.7</v>
      </c>
      <c r="I2506" t="s">
        <v>33</v>
      </c>
      <c r="J2506" t="s">
        <v>33</v>
      </c>
      <c r="L2506">
        <f t="shared" si="78"/>
        <v>2022</v>
      </c>
      <c r="M2506" t="str">
        <f t="shared" si="79"/>
        <v>COVID Period</v>
      </c>
    </row>
    <row r="2507" spans="1:13" x14ac:dyDescent="0.25">
      <c r="A2507" s="2">
        <v>44816</v>
      </c>
      <c r="B2507" t="s">
        <v>42</v>
      </c>
      <c r="C2507">
        <v>15</v>
      </c>
      <c r="D2507" s="3">
        <v>4.08</v>
      </c>
      <c r="E2507" s="3">
        <v>61.2</v>
      </c>
      <c r="F2507">
        <v>19</v>
      </c>
      <c r="G2507">
        <v>4</v>
      </c>
      <c r="H2507" s="4">
        <v>2.4</v>
      </c>
      <c r="I2507" t="s">
        <v>33</v>
      </c>
      <c r="J2507" t="s">
        <v>33</v>
      </c>
      <c r="L2507">
        <f t="shared" si="78"/>
        <v>2022</v>
      </c>
      <c r="M2507" t="str">
        <f t="shared" si="79"/>
        <v>COVID Period</v>
      </c>
    </row>
    <row r="2508" spans="1:13" x14ac:dyDescent="0.25">
      <c r="A2508" s="2">
        <v>44816</v>
      </c>
      <c r="B2508" t="s">
        <v>43</v>
      </c>
      <c r="C2508">
        <v>7</v>
      </c>
      <c r="D2508" s="3">
        <v>5.73</v>
      </c>
      <c r="E2508" s="3">
        <v>40.11</v>
      </c>
      <c r="F2508">
        <v>11</v>
      </c>
      <c r="G2508">
        <v>4</v>
      </c>
      <c r="H2508" s="4">
        <v>4.4000000000000004</v>
      </c>
      <c r="I2508" t="s">
        <v>33</v>
      </c>
      <c r="J2508" t="s">
        <v>33</v>
      </c>
      <c r="L2508">
        <f t="shared" si="78"/>
        <v>2022</v>
      </c>
      <c r="M2508" t="str">
        <f t="shared" si="79"/>
        <v>COVID Period</v>
      </c>
    </row>
    <row r="2509" spans="1:13" x14ac:dyDescent="0.25">
      <c r="A2509" s="2">
        <v>44816</v>
      </c>
      <c r="B2509" t="s">
        <v>44</v>
      </c>
      <c r="C2509">
        <v>1</v>
      </c>
      <c r="D2509" s="3">
        <v>4.66</v>
      </c>
      <c r="E2509" s="3">
        <v>4.66</v>
      </c>
      <c r="F2509">
        <v>3</v>
      </c>
      <c r="G2509">
        <v>3</v>
      </c>
      <c r="H2509" s="4">
        <v>1.8</v>
      </c>
      <c r="I2509" t="s">
        <v>46</v>
      </c>
      <c r="J2509" t="s">
        <v>33</v>
      </c>
      <c r="K2509" t="s">
        <v>47</v>
      </c>
      <c r="L2509">
        <f t="shared" si="78"/>
        <v>2022</v>
      </c>
      <c r="M2509" t="str">
        <f t="shared" si="79"/>
        <v>COVID Period</v>
      </c>
    </row>
    <row r="2510" spans="1:13" x14ac:dyDescent="0.25">
      <c r="A2510" s="2">
        <v>44816</v>
      </c>
      <c r="B2510" t="s">
        <v>45</v>
      </c>
      <c r="C2510">
        <v>1</v>
      </c>
      <c r="D2510" s="3">
        <v>15.38</v>
      </c>
      <c r="E2510" s="3">
        <v>15.38</v>
      </c>
      <c r="F2510">
        <v>3</v>
      </c>
      <c r="G2510">
        <v>2</v>
      </c>
      <c r="H2510" s="4">
        <v>1.6</v>
      </c>
      <c r="I2510" t="s">
        <v>46</v>
      </c>
      <c r="J2510" t="s">
        <v>33</v>
      </c>
      <c r="L2510">
        <f t="shared" si="78"/>
        <v>2022</v>
      </c>
      <c r="M2510" t="str">
        <f t="shared" si="79"/>
        <v>COVID Period</v>
      </c>
    </row>
    <row r="2511" spans="1:13" x14ac:dyDescent="0.25">
      <c r="A2511" s="2">
        <v>44823</v>
      </c>
      <c r="B2511" t="s">
        <v>32</v>
      </c>
      <c r="C2511">
        <v>17</v>
      </c>
      <c r="D2511" s="3">
        <v>6.78</v>
      </c>
      <c r="E2511" s="3">
        <v>115.26</v>
      </c>
      <c r="F2511">
        <v>27</v>
      </c>
      <c r="G2511">
        <v>13</v>
      </c>
      <c r="H2511" s="4">
        <v>1.8</v>
      </c>
      <c r="I2511" t="s">
        <v>33</v>
      </c>
      <c r="J2511" t="s">
        <v>33</v>
      </c>
      <c r="L2511">
        <f t="shared" si="78"/>
        <v>2022</v>
      </c>
      <c r="M2511" t="str">
        <f t="shared" si="79"/>
        <v>COVID Period</v>
      </c>
    </row>
    <row r="2512" spans="1:13" x14ac:dyDescent="0.25">
      <c r="A2512" s="2">
        <v>44823</v>
      </c>
      <c r="B2512" t="s">
        <v>34</v>
      </c>
      <c r="C2512">
        <v>13</v>
      </c>
      <c r="D2512" s="3">
        <v>7.06</v>
      </c>
      <c r="E2512" s="3">
        <v>91.78</v>
      </c>
      <c r="F2512">
        <v>20</v>
      </c>
      <c r="G2512">
        <v>10</v>
      </c>
      <c r="H2512" s="4">
        <v>2.7</v>
      </c>
      <c r="I2512" t="s">
        <v>33</v>
      </c>
      <c r="J2512" t="s">
        <v>33</v>
      </c>
      <c r="L2512">
        <f t="shared" si="78"/>
        <v>2022</v>
      </c>
      <c r="M2512" t="str">
        <f t="shared" si="79"/>
        <v>COVID Period</v>
      </c>
    </row>
    <row r="2513" spans="1:13" x14ac:dyDescent="0.25">
      <c r="A2513" s="2">
        <v>44823</v>
      </c>
      <c r="B2513" t="s">
        <v>35</v>
      </c>
      <c r="C2513">
        <v>11</v>
      </c>
      <c r="D2513" s="3">
        <v>5.92</v>
      </c>
      <c r="E2513" s="3">
        <v>65.12</v>
      </c>
      <c r="F2513">
        <v>14</v>
      </c>
      <c r="G2513">
        <v>3</v>
      </c>
      <c r="H2513" s="4">
        <v>2</v>
      </c>
      <c r="I2513" t="s">
        <v>33</v>
      </c>
      <c r="J2513" t="s">
        <v>33</v>
      </c>
      <c r="L2513">
        <f t="shared" si="78"/>
        <v>2022</v>
      </c>
      <c r="M2513" t="str">
        <f t="shared" si="79"/>
        <v>COVID Period</v>
      </c>
    </row>
    <row r="2514" spans="1:13" x14ac:dyDescent="0.25">
      <c r="A2514" s="2">
        <v>44823</v>
      </c>
      <c r="B2514" t="s">
        <v>36</v>
      </c>
      <c r="C2514">
        <v>10</v>
      </c>
      <c r="D2514" s="3">
        <v>6.02</v>
      </c>
      <c r="E2514" s="3">
        <v>60.2</v>
      </c>
      <c r="F2514">
        <v>13</v>
      </c>
      <c r="G2514">
        <v>4</v>
      </c>
      <c r="H2514" s="4">
        <v>0.9</v>
      </c>
      <c r="I2514" t="s">
        <v>33</v>
      </c>
      <c r="J2514" t="s">
        <v>33</v>
      </c>
      <c r="L2514">
        <f t="shared" si="78"/>
        <v>2022</v>
      </c>
      <c r="M2514" t="str">
        <f t="shared" si="79"/>
        <v>COVID Period</v>
      </c>
    </row>
    <row r="2515" spans="1:13" x14ac:dyDescent="0.25">
      <c r="A2515" s="2">
        <v>44823</v>
      </c>
      <c r="B2515" t="s">
        <v>37</v>
      </c>
      <c r="C2515">
        <v>18</v>
      </c>
      <c r="D2515" s="3">
        <v>3.08</v>
      </c>
      <c r="E2515" s="3">
        <v>55.44</v>
      </c>
      <c r="F2515">
        <v>26</v>
      </c>
      <c r="G2515">
        <v>9</v>
      </c>
      <c r="H2515" s="4">
        <v>1.5</v>
      </c>
      <c r="I2515" t="s">
        <v>33</v>
      </c>
      <c r="J2515" t="s">
        <v>33</v>
      </c>
      <c r="L2515">
        <f t="shared" si="78"/>
        <v>2022</v>
      </c>
      <c r="M2515" t="str">
        <f t="shared" si="79"/>
        <v>COVID Period</v>
      </c>
    </row>
    <row r="2516" spans="1:13" x14ac:dyDescent="0.25">
      <c r="A2516" s="2">
        <v>44823</v>
      </c>
      <c r="B2516" t="s">
        <v>38</v>
      </c>
      <c r="C2516">
        <v>10</v>
      </c>
      <c r="D2516" s="3">
        <v>8.1999999999999993</v>
      </c>
      <c r="E2516" s="3">
        <v>82</v>
      </c>
      <c r="F2516">
        <v>11</v>
      </c>
      <c r="G2516">
        <v>1</v>
      </c>
      <c r="H2516" s="4">
        <v>2.9</v>
      </c>
      <c r="I2516" t="s">
        <v>33</v>
      </c>
      <c r="J2516" t="s">
        <v>33</v>
      </c>
      <c r="L2516">
        <f t="shared" si="78"/>
        <v>2022</v>
      </c>
      <c r="M2516" t="str">
        <f t="shared" si="79"/>
        <v>COVID Period</v>
      </c>
    </row>
    <row r="2517" spans="1:13" x14ac:dyDescent="0.25">
      <c r="A2517" s="2">
        <v>44823</v>
      </c>
      <c r="B2517" t="s">
        <v>39</v>
      </c>
      <c r="C2517">
        <v>19</v>
      </c>
      <c r="D2517" s="3">
        <v>11.07</v>
      </c>
      <c r="E2517" s="3">
        <v>210.33</v>
      </c>
      <c r="F2517">
        <v>26</v>
      </c>
      <c r="G2517">
        <v>10</v>
      </c>
      <c r="H2517" s="4">
        <v>1.4</v>
      </c>
      <c r="I2517" t="s">
        <v>33</v>
      </c>
      <c r="J2517" t="s">
        <v>33</v>
      </c>
      <c r="L2517">
        <f t="shared" si="78"/>
        <v>2022</v>
      </c>
      <c r="M2517" t="str">
        <f t="shared" si="79"/>
        <v>COVID Period</v>
      </c>
    </row>
    <row r="2518" spans="1:13" x14ac:dyDescent="0.25">
      <c r="A2518" s="2">
        <v>44823</v>
      </c>
      <c r="B2518" t="s">
        <v>40</v>
      </c>
      <c r="C2518">
        <v>16</v>
      </c>
      <c r="D2518" s="3">
        <v>0.65</v>
      </c>
      <c r="E2518" s="3">
        <v>10.4</v>
      </c>
      <c r="F2518">
        <v>25</v>
      </c>
      <c r="G2518">
        <v>11</v>
      </c>
      <c r="H2518" s="4">
        <v>0</v>
      </c>
      <c r="I2518" t="s">
        <v>33</v>
      </c>
      <c r="J2518" t="s">
        <v>33</v>
      </c>
      <c r="L2518">
        <f t="shared" si="78"/>
        <v>2022</v>
      </c>
      <c r="M2518" t="str">
        <f t="shared" si="79"/>
        <v>COVID Period</v>
      </c>
    </row>
    <row r="2519" spans="1:13" x14ac:dyDescent="0.25">
      <c r="A2519" s="2">
        <v>44823</v>
      </c>
      <c r="B2519" t="s">
        <v>41</v>
      </c>
      <c r="C2519">
        <v>8</v>
      </c>
      <c r="D2519" s="3">
        <v>1.33</v>
      </c>
      <c r="E2519" s="3">
        <v>10.64</v>
      </c>
      <c r="F2519">
        <v>9</v>
      </c>
      <c r="G2519">
        <v>2</v>
      </c>
      <c r="H2519" s="4">
        <v>2.2000000000000002</v>
      </c>
      <c r="I2519" t="s">
        <v>33</v>
      </c>
      <c r="J2519" t="s">
        <v>33</v>
      </c>
      <c r="L2519">
        <f t="shared" si="78"/>
        <v>2022</v>
      </c>
      <c r="M2519" t="str">
        <f t="shared" si="79"/>
        <v>COVID Period</v>
      </c>
    </row>
    <row r="2520" spans="1:13" x14ac:dyDescent="0.25">
      <c r="A2520" s="2">
        <v>44823</v>
      </c>
      <c r="B2520" t="s">
        <v>42</v>
      </c>
      <c r="C2520">
        <v>14</v>
      </c>
      <c r="D2520" s="3">
        <v>4.1399999999999997</v>
      </c>
      <c r="E2520" s="3">
        <v>57.96</v>
      </c>
      <c r="F2520">
        <v>17</v>
      </c>
      <c r="G2520">
        <v>4</v>
      </c>
      <c r="H2520" s="4">
        <v>3.4</v>
      </c>
      <c r="I2520" t="s">
        <v>33</v>
      </c>
      <c r="J2520" t="s">
        <v>33</v>
      </c>
      <c r="L2520">
        <f t="shared" si="78"/>
        <v>2022</v>
      </c>
      <c r="M2520" t="str">
        <f t="shared" si="79"/>
        <v>COVID Period</v>
      </c>
    </row>
    <row r="2521" spans="1:13" x14ac:dyDescent="0.25">
      <c r="A2521" s="2">
        <v>44823</v>
      </c>
      <c r="B2521" t="s">
        <v>43</v>
      </c>
      <c r="C2521">
        <v>11</v>
      </c>
      <c r="D2521" s="3">
        <v>5.57</v>
      </c>
      <c r="E2521" s="3">
        <v>61.27</v>
      </c>
      <c r="F2521">
        <v>14</v>
      </c>
      <c r="G2521">
        <v>4</v>
      </c>
      <c r="H2521" s="4">
        <v>0.7</v>
      </c>
      <c r="I2521" t="s">
        <v>33</v>
      </c>
      <c r="J2521" t="s">
        <v>33</v>
      </c>
      <c r="L2521">
        <f t="shared" si="78"/>
        <v>2022</v>
      </c>
      <c r="M2521" t="str">
        <f t="shared" si="79"/>
        <v>COVID Period</v>
      </c>
    </row>
    <row r="2522" spans="1:13" x14ac:dyDescent="0.25">
      <c r="A2522" s="2">
        <v>44823</v>
      </c>
      <c r="B2522" t="s">
        <v>44</v>
      </c>
      <c r="C2522">
        <v>0</v>
      </c>
      <c r="D2522" s="3">
        <v>4.87</v>
      </c>
      <c r="E2522" s="3">
        <v>0</v>
      </c>
      <c r="F2522">
        <v>3</v>
      </c>
      <c r="G2522">
        <v>3</v>
      </c>
      <c r="H2522" s="4">
        <v>1.4</v>
      </c>
      <c r="I2522" t="s">
        <v>33</v>
      </c>
      <c r="J2522" t="s">
        <v>33</v>
      </c>
      <c r="L2522">
        <f t="shared" si="78"/>
        <v>2022</v>
      </c>
      <c r="M2522" t="str">
        <f t="shared" si="79"/>
        <v>COVID Period</v>
      </c>
    </row>
    <row r="2523" spans="1:13" x14ac:dyDescent="0.25">
      <c r="A2523" s="2">
        <v>44823</v>
      </c>
      <c r="B2523" t="s">
        <v>45</v>
      </c>
      <c r="C2523">
        <v>0</v>
      </c>
      <c r="D2523" s="3">
        <v>15.64</v>
      </c>
      <c r="E2523" s="3">
        <v>0</v>
      </c>
      <c r="F2523">
        <v>3</v>
      </c>
      <c r="G2523">
        <v>3</v>
      </c>
      <c r="H2523" s="4">
        <v>3.4</v>
      </c>
      <c r="I2523" t="s">
        <v>33</v>
      </c>
      <c r="J2523" t="s">
        <v>33</v>
      </c>
      <c r="L2523">
        <f t="shared" si="78"/>
        <v>2022</v>
      </c>
      <c r="M2523" t="str">
        <f t="shared" si="79"/>
        <v>COVID Period</v>
      </c>
    </row>
    <row r="2524" spans="1:13" x14ac:dyDescent="0.25">
      <c r="A2524" s="2">
        <v>44830</v>
      </c>
      <c r="B2524" t="s">
        <v>32</v>
      </c>
      <c r="C2524">
        <v>14</v>
      </c>
      <c r="D2524" s="3">
        <v>6.86</v>
      </c>
      <c r="E2524" s="3">
        <v>96.04</v>
      </c>
      <c r="F2524">
        <v>17</v>
      </c>
      <c r="G2524">
        <v>5</v>
      </c>
      <c r="H2524" s="4">
        <v>1.6</v>
      </c>
      <c r="I2524" t="s">
        <v>33</v>
      </c>
      <c r="J2524" t="s">
        <v>33</v>
      </c>
      <c r="L2524">
        <f t="shared" si="78"/>
        <v>2022</v>
      </c>
      <c r="M2524" t="str">
        <f t="shared" si="79"/>
        <v>COVID Period</v>
      </c>
    </row>
    <row r="2525" spans="1:13" x14ac:dyDescent="0.25">
      <c r="A2525" s="2">
        <v>44830</v>
      </c>
      <c r="B2525" t="s">
        <v>34</v>
      </c>
      <c r="C2525">
        <v>16</v>
      </c>
      <c r="D2525" s="3">
        <v>7.37</v>
      </c>
      <c r="E2525" s="3">
        <v>117.92</v>
      </c>
      <c r="F2525">
        <v>17</v>
      </c>
      <c r="G2525">
        <v>1</v>
      </c>
      <c r="H2525" s="4">
        <v>1.3</v>
      </c>
      <c r="I2525" t="s">
        <v>33</v>
      </c>
      <c r="J2525" t="s">
        <v>33</v>
      </c>
      <c r="L2525">
        <f t="shared" si="78"/>
        <v>2022</v>
      </c>
      <c r="M2525" t="str">
        <f t="shared" si="79"/>
        <v>COVID Period</v>
      </c>
    </row>
    <row r="2526" spans="1:13" x14ac:dyDescent="0.25">
      <c r="A2526" s="2">
        <v>44830</v>
      </c>
      <c r="B2526" t="s">
        <v>35</v>
      </c>
      <c r="C2526">
        <v>9</v>
      </c>
      <c r="D2526" s="3">
        <v>5.67</v>
      </c>
      <c r="E2526" s="3">
        <v>51.03</v>
      </c>
      <c r="F2526">
        <v>11</v>
      </c>
      <c r="G2526">
        <v>3</v>
      </c>
      <c r="H2526" s="4">
        <v>2.1</v>
      </c>
      <c r="I2526" t="s">
        <v>33</v>
      </c>
      <c r="J2526" t="s">
        <v>33</v>
      </c>
      <c r="L2526">
        <f t="shared" si="78"/>
        <v>2022</v>
      </c>
      <c r="M2526" t="str">
        <f t="shared" si="79"/>
        <v>COVID Period</v>
      </c>
    </row>
    <row r="2527" spans="1:13" x14ac:dyDescent="0.25">
      <c r="A2527" s="2">
        <v>44830</v>
      </c>
      <c r="B2527" t="s">
        <v>36</v>
      </c>
      <c r="C2527">
        <v>9</v>
      </c>
      <c r="D2527" s="3">
        <v>6.07</v>
      </c>
      <c r="E2527" s="3">
        <v>54.63</v>
      </c>
      <c r="F2527">
        <v>10</v>
      </c>
      <c r="G2527">
        <v>2</v>
      </c>
      <c r="H2527" s="4">
        <v>2</v>
      </c>
      <c r="I2527" t="s">
        <v>33</v>
      </c>
      <c r="J2527" t="s">
        <v>33</v>
      </c>
      <c r="L2527">
        <f t="shared" si="78"/>
        <v>2022</v>
      </c>
      <c r="M2527" t="str">
        <f t="shared" si="79"/>
        <v>COVID Period</v>
      </c>
    </row>
    <row r="2528" spans="1:13" x14ac:dyDescent="0.25">
      <c r="A2528" s="2">
        <v>44830</v>
      </c>
      <c r="B2528" t="s">
        <v>37</v>
      </c>
      <c r="C2528">
        <v>19</v>
      </c>
      <c r="D2528" s="3">
        <v>3.13</v>
      </c>
      <c r="E2528" s="3">
        <v>59.47</v>
      </c>
      <c r="F2528">
        <v>21</v>
      </c>
      <c r="G2528">
        <v>5</v>
      </c>
      <c r="H2528" s="4">
        <v>1.7</v>
      </c>
      <c r="I2528" t="s">
        <v>33</v>
      </c>
      <c r="J2528" t="s">
        <v>33</v>
      </c>
      <c r="L2528">
        <f t="shared" si="78"/>
        <v>2022</v>
      </c>
      <c r="M2528" t="str">
        <f t="shared" si="79"/>
        <v>COVID Period</v>
      </c>
    </row>
    <row r="2529" spans="1:13" x14ac:dyDescent="0.25">
      <c r="A2529" s="2">
        <v>44830</v>
      </c>
      <c r="B2529" t="s">
        <v>38</v>
      </c>
      <c r="C2529">
        <v>14</v>
      </c>
      <c r="D2529" s="3">
        <v>8.32</v>
      </c>
      <c r="E2529" s="3">
        <v>116.48</v>
      </c>
      <c r="F2529">
        <v>19</v>
      </c>
      <c r="G2529">
        <v>7</v>
      </c>
      <c r="H2529" s="4">
        <v>4.7</v>
      </c>
      <c r="I2529" t="s">
        <v>33</v>
      </c>
      <c r="J2529" t="s">
        <v>33</v>
      </c>
      <c r="L2529">
        <f t="shared" si="78"/>
        <v>2022</v>
      </c>
      <c r="M2529" t="str">
        <f t="shared" si="79"/>
        <v>COVID Period</v>
      </c>
    </row>
    <row r="2530" spans="1:13" x14ac:dyDescent="0.25">
      <c r="A2530" s="2">
        <v>44830</v>
      </c>
      <c r="B2530" t="s">
        <v>39</v>
      </c>
      <c r="C2530">
        <v>30</v>
      </c>
      <c r="D2530" s="3">
        <v>11.21</v>
      </c>
      <c r="E2530" s="3">
        <v>336.3</v>
      </c>
      <c r="F2530">
        <v>31</v>
      </c>
      <c r="G2530">
        <v>1</v>
      </c>
      <c r="H2530" s="4">
        <v>1.9</v>
      </c>
      <c r="I2530" t="s">
        <v>33</v>
      </c>
      <c r="J2530" t="s">
        <v>46</v>
      </c>
      <c r="L2530">
        <f t="shared" si="78"/>
        <v>2022</v>
      </c>
      <c r="M2530" t="str">
        <f t="shared" si="79"/>
        <v>COVID Period</v>
      </c>
    </row>
    <row r="2531" spans="1:13" x14ac:dyDescent="0.25">
      <c r="A2531" s="2">
        <v>44830</v>
      </c>
      <c r="B2531" t="s">
        <v>40</v>
      </c>
      <c r="C2531">
        <v>17</v>
      </c>
      <c r="D2531" s="3">
        <v>0.67</v>
      </c>
      <c r="E2531" s="3">
        <v>11.39</v>
      </c>
      <c r="F2531">
        <v>26</v>
      </c>
      <c r="G2531">
        <v>13</v>
      </c>
      <c r="H2531" s="4">
        <v>3.5</v>
      </c>
      <c r="I2531" t="s">
        <v>33</v>
      </c>
      <c r="J2531" t="s">
        <v>33</v>
      </c>
      <c r="L2531">
        <f t="shared" si="78"/>
        <v>2022</v>
      </c>
      <c r="M2531" t="str">
        <f t="shared" si="79"/>
        <v>COVID Period</v>
      </c>
    </row>
    <row r="2532" spans="1:13" x14ac:dyDescent="0.25">
      <c r="A2532" s="2">
        <v>44830</v>
      </c>
      <c r="B2532" t="s">
        <v>41</v>
      </c>
      <c r="C2532">
        <v>14</v>
      </c>
      <c r="D2532" s="3">
        <v>1.3</v>
      </c>
      <c r="E2532" s="3">
        <v>18.2</v>
      </c>
      <c r="F2532">
        <v>21</v>
      </c>
      <c r="G2532">
        <v>7</v>
      </c>
      <c r="H2532" s="4">
        <v>4.7</v>
      </c>
      <c r="I2532" t="s">
        <v>33</v>
      </c>
      <c r="J2532" t="s">
        <v>33</v>
      </c>
      <c r="L2532">
        <f t="shared" si="78"/>
        <v>2022</v>
      </c>
      <c r="M2532" t="str">
        <f t="shared" si="79"/>
        <v>COVID Period</v>
      </c>
    </row>
    <row r="2533" spans="1:13" x14ac:dyDescent="0.25">
      <c r="A2533" s="2">
        <v>44830</v>
      </c>
      <c r="B2533" t="s">
        <v>42</v>
      </c>
      <c r="C2533">
        <v>14</v>
      </c>
      <c r="D2533" s="3">
        <v>4.3600000000000003</v>
      </c>
      <c r="E2533" s="3">
        <v>61.04</v>
      </c>
      <c r="F2533">
        <v>20</v>
      </c>
      <c r="G2533">
        <v>7</v>
      </c>
      <c r="H2533" s="4">
        <v>1.5</v>
      </c>
      <c r="I2533" t="s">
        <v>33</v>
      </c>
      <c r="J2533" t="s">
        <v>33</v>
      </c>
      <c r="L2533">
        <f t="shared" si="78"/>
        <v>2022</v>
      </c>
      <c r="M2533" t="str">
        <f t="shared" si="79"/>
        <v>COVID Period</v>
      </c>
    </row>
    <row r="2534" spans="1:13" x14ac:dyDescent="0.25">
      <c r="A2534" s="2">
        <v>44830</v>
      </c>
      <c r="B2534" t="s">
        <v>43</v>
      </c>
      <c r="C2534">
        <v>8</v>
      </c>
      <c r="D2534" s="3">
        <v>5.67</v>
      </c>
      <c r="E2534" s="3">
        <v>45.36</v>
      </c>
      <c r="F2534">
        <v>9</v>
      </c>
      <c r="G2534">
        <v>2</v>
      </c>
      <c r="H2534" s="4">
        <v>0.4</v>
      </c>
      <c r="I2534" t="s">
        <v>33</v>
      </c>
      <c r="J2534" t="s">
        <v>33</v>
      </c>
      <c r="L2534">
        <f t="shared" si="78"/>
        <v>2022</v>
      </c>
      <c r="M2534" t="str">
        <f t="shared" si="79"/>
        <v>COVID Period</v>
      </c>
    </row>
    <row r="2535" spans="1:13" x14ac:dyDescent="0.25">
      <c r="A2535" s="2">
        <v>44830</v>
      </c>
      <c r="B2535" t="s">
        <v>44</v>
      </c>
      <c r="C2535">
        <v>0</v>
      </c>
      <c r="D2535" s="3">
        <v>4.75</v>
      </c>
      <c r="E2535" s="3">
        <v>0</v>
      </c>
      <c r="F2535">
        <v>3</v>
      </c>
      <c r="G2535">
        <v>3</v>
      </c>
      <c r="H2535" s="4">
        <v>1.7</v>
      </c>
      <c r="I2535" t="s">
        <v>33</v>
      </c>
      <c r="J2535" t="s">
        <v>33</v>
      </c>
      <c r="L2535">
        <f t="shared" si="78"/>
        <v>2022</v>
      </c>
      <c r="M2535" t="str">
        <f t="shared" si="79"/>
        <v>COVID Period</v>
      </c>
    </row>
    <row r="2536" spans="1:13" x14ac:dyDescent="0.25">
      <c r="A2536" s="2">
        <v>44830</v>
      </c>
      <c r="B2536" t="s">
        <v>45</v>
      </c>
      <c r="C2536">
        <v>0</v>
      </c>
      <c r="D2536" s="3">
        <v>15.06</v>
      </c>
      <c r="E2536" s="3">
        <v>0</v>
      </c>
      <c r="F2536">
        <v>3</v>
      </c>
      <c r="G2536">
        <v>3</v>
      </c>
      <c r="H2536" s="4">
        <v>1.9</v>
      </c>
      <c r="I2536" t="s">
        <v>33</v>
      </c>
      <c r="J2536" t="s">
        <v>33</v>
      </c>
      <c r="L2536">
        <f t="shared" si="78"/>
        <v>2022</v>
      </c>
      <c r="M2536" t="str">
        <f t="shared" si="79"/>
        <v>COVID Period</v>
      </c>
    </row>
    <row r="2537" spans="1:13" x14ac:dyDescent="0.25">
      <c r="A2537" s="2">
        <v>44837</v>
      </c>
      <c r="B2537" t="s">
        <v>32</v>
      </c>
      <c r="C2537">
        <v>12</v>
      </c>
      <c r="D2537" s="3">
        <v>6.85</v>
      </c>
      <c r="E2537" s="3">
        <v>82.2</v>
      </c>
      <c r="F2537">
        <v>12</v>
      </c>
      <c r="G2537">
        <v>0</v>
      </c>
      <c r="H2537" s="4">
        <v>2.4</v>
      </c>
      <c r="I2537" t="s">
        <v>33</v>
      </c>
      <c r="J2537" t="s">
        <v>33</v>
      </c>
      <c r="L2537">
        <f t="shared" si="78"/>
        <v>2022</v>
      </c>
      <c r="M2537" t="str">
        <f t="shared" si="79"/>
        <v>COVID Period</v>
      </c>
    </row>
    <row r="2538" spans="1:13" x14ac:dyDescent="0.25">
      <c r="A2538" s="2">
        <v>44837</v>
      </c>
      <c r="B2538" t="s">
        <v>34</v>
      </c>
      <c r="C2538">
        <v>10</v>
      </c>
      <c r="D2538" s="3">
        <v>7.05</v>
      </c>
      <c r="E2538" s="3">
        <v>70.5</v>
      </c>
      <c r="F2538">
        <v>14</v>
      </c>
      <c r="G2538">
        <v>5</v>
      </c>
      <c r="H2538" s="4">
        <v>0.8</v>
      </c>
      <c r="I2538" t="s">
        <v>33</v>
      </c>
      <c r="J2538" t="s">
        <v>33</v>
      </c>
      <c r="L2538">
        <f t="shared" si="78"/>
        <v>2022</v>
      </c>
      <c r="M2538" t="str">
        <f t="shared" si="79"/>
        <v>COVID Period</v>
      </c>
    </row>
    <row r="2539" spans="1:13" x14ac:dyDescent="0.25">
      <c r="A2539" s="2">
        <v>44837</v>
      </c>
      <c r="B2539" t="s">
        <v>35</v>
      </c>
      <c r="C2539">
        <v>8</v>
      </c>
      <c r="D2539" s="3">
        <v>5.78</v>
      </c>
      <c r="E2539" s="3">
        <v>46.24</v>
      </c>
      <c r="F2539">
        <v>10</v>
      </c>
      <c r="G2539">
        <v>2</v>
      </c>
      <c r="H2539" s="4">
        <v>1.8</v>
      </c>
      <c r="I2539" t="s">
        <v>33</v>
      </c>
      <c r="J2539" t="s">
        <v>33</v>
      </c>
      <c r="L2539">
        <f t="shared" si="78"/>
        <v>2022</v>
      </c>
      <c r="M2539" t="str">
        <f t="shared" si="79"/>
        <v>COVID Period</v>
      </c>
    </row>
    <row r="2540" spans="1:13" x14ac:dyDescent="0.25">
      <c r="A2540" s="2">
        <v>44837</v>
      </c>
      <c r="B2540" t="s">
        <v>36</v>
      </c>
      <c r="C2540">
        <v>11</v>
      </c>
      <c r="D2540" s="3">
        <v>6.18</v>
      </c>
      <c r="E2540" s="3">
        <v>67.98</v>
      </c>
      <c r="F2540">
        <v>14</v>
      </c>
      <c r="G2540">
        <v>5</v>
      </c>
      <c r="H2540" s="4">
        <v>0.2</v>
      </c>
      <c r="I2540" t="s">
        <v>33</v>
      </c>
      <c r="J2540" t="s">
        <v>33</v>
      </c>
      <c r="L2540">
        <f t="shared" si="78"/>
        <v>2022</v>
      </c>
      <c r="M2540" t="str">
        <f t="shared" si="79"/>
        <v>COVID Period</v>
      </c>
    </row>
    <row r="2541" spans="1:13" x14ac:dyDescent="0.25">
      <c r="A2541" s="2">
        <v>44837</v>
      </c>
      <c r="B2541" t="s">
        <v>37</v>
      </c>
      <c r="C2541">
        <v>13</v>
      </c>
      <c r="D2541" s="3">
        <v>3.3</v>
      </c>
      <c r="E2541" s="3">
        <v>42.9</v>
      </c>
      <c r="F2541">
        <v>14</v>
      </c>
      <c r="G2541">
        <v>2</v>
      </c>
      <c r="H2541" s="4">
        <v>0.7</v>
      </c>
      <c r="I2541" t="s">
        <v>33</v>
      </c>
      <c r="J2541" t="s">
        <v>33</v>
      </c>
      <c r="L2541">
        <f t="shared" si="78"/>
        <v>2022</v>
      </c>
      <c r="M2541" t="str">
        <f t="shared" si="79"/>
        <v>COVID Period</v>
      </c>
    </row>
    <row r="2542" spans="1:13" x14ac:dyDescent="0.25">
      <c r="A2542" s="2">
        <v>44837</v>
      </c>
      <c r="B2542" t="s">
        <v>38</v>
      </c>
      <c r="C2542">
        <v>14</v>
      </c>
      <c r="D2542" s="3">
        <v>8.26</v>
      </c>
      <c r="E2542" s="3">
        <v>115.64</v>
      </c>
      <c r="F2542">
        <v>20</v>
      </c>
      <c r="G2542">
        <v>7</v>
      </c>
      <c r="H2542" s="4">
        <v>1.9</v>
      </c>
      <c r="I2542" t="s">
        <v>33</v>
      </c>
      <c r="J2542" t="s">
        <v>33</v>
      </c>
      <c r="L2542">
        <f t="shared" si="78"/>
        <v>2022</v>
      </c>
      <c r="M2542" t="str">
        <f t="shared" si="79"/>
        <v>COVID Period</v>
      </c>
    </row>
    <row r="2543" spans="1:13" x14ac:dyDescent="0.25">
      <c r="A2543" s="2">
        <v>44837</v>
      </c>
      <c r="B2543" t="s">
        <v>39</v>
      </c>
      <c r="C2543">
        <v>24</v>
      </c>
      <c r="D2543" s="3">
        <v>11.38</v>
      </c>
      <c r="E2543" s="3">
        <v>273.12</v>
      </c>
      <c r="F2543">
        <v>40</v>
      </c>
      <c r="G2543">
        <v>20</v>
      </c>
      <c r="H2543" s="4">
        <v>3.5</v>
      </c>
      <c r="I2543" t="s">
        <v>33</v>
      </c>
      <c r="J2543" t="s">
        <v>33</v>
      </c>
      <c r="L2543">
        <f t="shared" si="78"/>
        <v>2022</v>
      </c>
      <c r="M2543" t="str">
        <f t="shared" si="79"/>
        <v>COVID Period</v>
      </c>
    </row>
    <row r="2544" spans="1:13" x14ac:dyDescent="0.25">
      <c r="A2544" s="2">
        <v>44837</v>
      </c>
      <c r="B2544" t="s">
        <v>40</v>
      </c>
      <c r="C2544">
        <v>22</v>
      </c>
      <c r="D2544" s="3">
        <v>0.68</v>
      </c>
      <c r="E2544" s="3">
        <v>14.96</v>
      </c>
      <c r="F2544">
        <v>26</v>
      </c>
      <c r="G2544">
        <v>6</v>
      </c>
      <c r="H2544" s="4">
        <v>2</v>
      </c>
      <c r="I2544" t="s">
        <v>33</v>
      </c>
      <c r="J2544" t="s">
        <v>33</v>
      </c>
      <c r="L2544">
        <f t="shared" si="78"/>
        <v>2022</v>
      </c>
      <c r="M2544" t="str">
        <f t="shared" si="79"/>
        <v>COVID Period</v>
      </c>
    </row>
    <row r="2545" spans="1:13" x14ac:dyDescent="0.25">
      <c r="A2545" s="2">
        <v>44837</v>
      </c>
      <c r="B2545" t="s">
        <v>41</v>
      </c>
      <c r="C2545">
        <v>8</v>
      </c>
      <c r="D2545" s="3">
        <v>1.32</v>
      </c>
      <c r="E2545" s="3">
        <v>10.56</v>
      </c>
      <c r="F2545">
        <v>13</v>
      </c>
      <c r="G2545">
        <v>6</v>
      </c>
      <c r="H2545" s="4">
        <v>2.8</v>
      </c>
      <c r="I2545" t="s">
        <v>33</v>
      </c>
      <c r="J2545" t="s">
        <v>33</v>
      </c>
      <c r="L2545">
        <f t="shared" si="78"/>
        <v>2022</v>
      </c>
      <c r="M2545" t="str">
        <f t="shared" si="79"/>
        <v>COVID Period</v>
      </c>
    </row>
    <row r="2546" spans="1:13" x14ac:dyDescent="0.25">
      <c r="A2546" s="2">
        <v>44837</v>
      </c>
      <c r="B2546" t="s">
        <v>42</v>
      </c>
      <c r="C2546">
        <v>12</v>
      </c>
      <c r="D2546" s="3">
        <v>4.25</v>
      </c>
      <c r="E2546" s="3">
        <v>51</v>
      </c>
      <c r="F2546">
        <v>13</v>
      </c>
      <c r="G2546">
        <v>3</v>
      </c>
      <c r="H2546" s="4">
        <v>4.7</v>
      </c>
      <c r="I2546" t="s">
        <v>33</v>
      </c>
      <c r="J2546" t="s">
        <v>33</v>
      </c>
      <c r="L2546">
        <f t="shared" si="78"/>
        <v>2022</v>
      </c>
      <c r="M2546" t="str">
        <f t="shared" si="79"/>
        <v>COVID Period</v>
      </c>
    </row>
    <row r="2547" spans="1:13" x14ac:dyDescent="0.25">
      <c r="A2547" s="2">
        <v>44837</v>
      </c>
      <c r="B2547" t="s">
        <v>43</v>
      </c>
      <c r="C2547">
        <v>6</v>
      </c>
      <c r="D2547" s="3">
        <v>5.31</v>
      </c>
      <c r="E2547" s="3">
        <v>31.86</v>
      </c>
      <c r="F2547">
        <v>7</v>
      </c>
      <c r="G2547">
        <v>1</v>
      </c>
      <c r="H2547" s="4">
        <v>4.0999999999999996</v>
      </c>
      <c r="I2547" t="s">
        <v>33</v>
      </c>
      <c r="J2547" t="s">
        <v>46</v>
      </c>
      <c r="L2547">
        <f t="shared" si="78"/>
        <v>2022</v>
      </c>
      <c r="M2547" t="str">
        <f t="shared" si="79"/>
        <v>COVID Period</v>
      </c>
    </row>
    <row r="2548" spans="1:13" x14ac:dyDescent="0.25">
      <c r="A2548" s="2">
        <v>44837</v>
      </c>
      <c r="B2548" t="s">
        <v>44</v>
      </c>
      <c r="C2548">
        <v>1</v>
      </c>
      <c r="D2548" s="3">
        <v>4.63</v>
      </c>
      <c r="E2548" s="3">
        <v>4.63</v>
      </c>
      <c r="F2548">
        <v>3</v>
      </c>
      <c r="G2548">
        <v>2</v>
      </c>
      <c r="H2548" s="4">
        <v>2.2000000000000002</v>
      </c>
      <c r="I2548" t="s">
        <v>46</v>
      </c>
      <c r="J2548" t="s">
        <v>33</v>
      </c>
      <c r="K2548" t="s">
        <v>47</v>
      </c>
      <c r="L2548">
        <f t="shared" si="78"/>
        <v>2022</v>
      </c>
      <c r="M2548" t="str">
        <f t="shared" si="79"/>
        <v>COVID Period</v>
      </c>
    </row>
    <row r="2549" spans="1:13" x14ac:dyDescent="0.25">
      <c r="A2549" s="2">
        <v>44837</v>
      </c>
      <c r="B2549" t="s">
        <v>45</v>
      </c>
      <c r="C2549">
        <v>0</v>
      </c>
      <c r="D2549" s="3">
        <v>15.37</v>
      </c>
      <c r="E2549" s="3">
        <v>0</v>
      </c>
      <c r="F2549">
        <v>3</v>
      </c>
      <c r="G2549">
        <v>3</v>
      </c>
      <c r="H2549" s="4">
        <v>2.1</v>
      </c>
      <c r="I2549" t="s">
        <v>33</v>
      </c>
      <c r="J2549" t="s">
        <v>33</v>
      </c>
      <c r="L2549">
        <f t="shared" si="78"/>
        <v>2022</v>
      </c>
      <c r="M2549" t="str">
        <f t="shared" si="79"/>
        <v>COVID Period</v>
      </c>
    </row>
    <row r="2550" spans="1:13" x14ac:dyDescent="0.25">
      <c r="A2550" s="2">
        <v>44844</v>
      </c>
      <c r="B2550" t="s">
        <v>32</v>
      </c>
      <c r="C2550">
        <v>19</v>
      </c>
      <c r="D2550" s="3">
        <v>6.82</v>
      </c>
      <c r="E2550" s="3">
        <v>129.58000000000001</v>
      </c>
      <c r="F2550">
        <v>24</v>
      </c>
      <c r="G2550">
        <v>6</v>
      </c>
      <c r="H2550" s="4">
        <v>1.9</v>
      </c>
      <c r="I2550" t="s">
        <v>33</v>
      </c>
      <c r="J2550" t="s">
        <v>33</v>
      </c>
      <c r="L2550">
        <f t="shared" si="78"/>
        <v>2022</v>
      </c>
      <c r="M2550" t="str">
        <f t="shared" si="79"/>
        <v>COVID Period</v>
      </c>
    </row>
    <row r="2551" spans="1:13" x14ac:dyDescent="0.25">
      <c r="A2551" s="2">
        <v>44844</v>
      </c>
      <c r="B2551" t="s">
        <v>34</v>
      </c>
      <c r="C2551">
        <v>11</v>
      </c>
      <c r="D2551" s="3">
        <v>7.12</v>
      </c>
      <c r="E2551" s="3">
        <v>78.319999999999993</v>
      </c>
      <c r="F2551">
        <v>13</v>
      </c>
      <c r="G2551">
        <v>4</v>
      </c>
      <c r="H2551" s="4">
        <v>1.5</v>
      </c>
      <c r="I2551" t="s">
        <v>33</v>
      </c>
      <c r="J2551" t="s">
        <v>33</v>
      </c>
      <c r="L2551">
        <f t="shared" si="78"/>
        <v>2022</v>
      </c>
      <c r="M2551" t="str">
        <f t="shared" si="79"/>
        <v>COVID Period</v>
      </c>
    </row>
    <row r="2552" spans="1:13" x14ac:dyDescent="0.25">
      <c r="A2552" s="2">
        <v>44844</v>
      </c>
      <c r="B2552" t="s">
        <v>35</v>
      </c>
      <c r="C2552">
        <v>7</v>
      </c>
      <c r="D2552" s="3">
        <v>5.81</v>
      </c>
      <c r="E2552" s="3">
        <v>40.67</v>
      </c>
      <c r="F2552">
        <v>8</v>
      </c>
      <c r="G2552">
        <v>2</v>
      </c>
      <c r="H2552" s="4">
        <v>1.3</v>
      </c>
      <c r="I2552" t="s">
        <v>33</v>
      </c>
      <c r="J2552" t="s">
        <v>33</v>
      </c>
      <c r="L2552">
        <f t="shared" si="78"/>
        <v>2022</v>
      </c>
      <c r="M2552" t="str">
        <f t="shared" si="79"/>
        <v>COVID Period</v>
      </c>
    </row>
    <row r="2553" spans="1:13" x14ac:dyDescent="0.25">
      <c r="A2553" s="2">
        <v>44844</v>
      </c>
      <c r="B2553" t="s">
        <v>36</v>
      </c>
      <c r="C2553">
        <v>8</v>
      </c>
      <c r="D2553" s="3">
        <v>6.23</v>
      </c>
      <c r="E2553" s="3">
        <v>49.84</v>
      </c>
      <c r="F2553">
        <v>12</v>
      </c>
      <c r="G2553">
        <v>6</v>
      </c>
      <c r="H2553" s="4">
        <v>0</v>
      </c>
      <c r="I2553" t="s">
        <v>33</v>
      </c>
      <c r="J2553" t="s">
        <v>33</v>
      </c>
      <c r="L2553">
        <f t="shared" si="78"/>
        <v>2022</v>
      </c>
      <c r="M2553" t="str">
        <f t="shared" si="79"/>
        <v>COVID Period</v>
      </c>
    </row>
    <row r="2554" spans="1:13" x14ac:dyDescent="0.25">
      <c r="A2554" s="2">
        <v>44844</v>
      </c>
      <c r="B2554" t="s">
        <v>37</v>
      </c>
      <c r="C2554">
        <v>20</v>
      </c>
      <c r="D2554" s="3">
        <v>3.26</v>
      </c>
      <c r="E2554" s="3">
        <v>65.2</v>
      </c>
      <c r="F2554">
        <v>30</v>
      </c>
      <c r="G2554">
        <v>11</v>
      </c>
      <c r="H2554" s="4">
        <v>2.4</v>
      </c>
      <c r="I2554" t="s">
        <v>33</v>
      </c>
      <c r="J2554" t="s">
        <v>33</v>
      </c>
      <c r="L2554">
        <f t="shared" si="78"/>
        <v>2022</v>
      </c>
      <c r="M2554" t="str">
        <f t="shared" si="79"/>
        <v>COVID Period</v>
      </c>
    </row>
    <row r="2555" spans="1:13" x14ac:dyDescent="0.25">
      <c r="A2555" s="2">
        <v>44844</v>
      </c>
      <c r="B2555" t="s">
        <v>38</v>
      </c>
      <c r="C2555">
        <v>14</v>
      </c>
      <c r="D2555" s="3">
        <v>8.73</v>
      </c>
      <c r="E2555" s="3">
        <v>122.22</v>
      </c>
      <c r="F2555">
        <v>17</v>
      </c>
      <c r="G2555">
        <v>6</v>
      </c>
      <c r="H2555" s="4">
        <v>2.5</v>
      </c>
      <c r="I2555" t="s">
        <v>33</v>
      </c>
      <c r="J2555" t="s">
        <v>33</v>
      </c>
      <c r="L2555">
        <f t="shared" si="78"/>
        <v>2022</v>
      </c>
      <c r="M2555" t="str">
        <f t="shared" si="79"/>
        <v>COVID Period</v>
      </c>
    </row>
    <row r="2556" spans="1:13" x14ac:dyDescent="0.25">
      <c r="A2556" s="2">
        <v>44844</v>
      </c>
      <c r="B2556" t="s">
        <v>39</v>
      </c>
      <c r="C2556">
        <v>24</v>
      </c>
      <c r="D2556" s="3">
        <v>12.05</v>
      </c>
      <c r="E2556" s="3">
        <v>289.2</v>
      </c>
      <c r="F2556">
        <v>27</v>
      </c>
      <c r="G2556">
        <v>7</v>
      </c>
      <c r="H2556" s="4">
        <v>0</v>
      </c>
      <c r="I2556" t="s">
        <v>33</v>
      </c>
      <c r="J2556" t="s">
        <v>33</v>
      </c>
      <c r="L2556">
        <f t="shared" si="78"/>
        <v>2022</v>
      </c>
      <c r="M2556" t="str">
        <f t="shared" si="79"/>
        <v>COVID Period</v>
      </c>
    </row>
    <row r="2557" spans="1:13" x14ac:dyDescent="0.25">
      <c r="A2557" s="2">
        <v>44844</v>
      </c>
      <c r="B2557" t="s">
        <v>40</v>
      </c>
      <c r="C2557">
        <v>23</v>
      </c>
      <c r="D2557" s="3">
        <v>0.67</v>
      </c>
      <c r="E2557" s="3">
        <v>15.41</v>
      </c>
      <c r="F2557">
        <v>24</v>
      </c>
      <c r="G2557">
        <v>5</v>
      </c>
      <c r="H2557" s="4">
        <v>1</v>
      </c>
      <c r="I2557" t="s">
        <v>33</v>
      </c>
      <c r="J2557" t="s">
        <v>33</v>
      </c>
      <c r="L2557">
        <f t="shared" si="78"/>
        <v>2022</v>
      </c>
      <c r="M2557" t="str">
        <f t="shared" si="79"/>
        <v>COVID Period</v>
      </c>
    </row>
    <row r="2558" spans="1:13" x14ac:dyDescent="0.25">
      <c r="A2558" s="2">
        <v>44844</v>
      </c>
      <c r="B2558" t="s">
        <v>41</v>
      </c>
      <c r="C2558">
        <v>14</v>
      </c>
      <c r="D2558" s="3">
        <v>1.33</v>
      </c>
      <c r="E2558" s="3">
        <v>18.62</v>
      </c>
      <c r="F2558">
        <v>19</v>
      </c>
      <c r="G2558">
        <v>5</v>
      </c>
      <c r="H2558" s="4">
        <v>2.7</v>
      </c>
      <c r="I2558" t="s">
        <v>33</v>
      </c>
      <c r="J2558" t="s">
        <v>33</v>
      </c>
      <c r="L2558">
        <f t="shared" si="78"/>
        <v>2022</v>
      </c>
      <c r="M2558" t="str">
        <f t="shared" si="79"/>
        <v>COVID Period</v>
      </c>
    </row>
    <row r="2559" spans="1:13" x14ac:dyDescent="0.25">
      <c r="A2559" s="2">
        <v>44844</v>
      </c>
      <c r="B2559" t="s">
        <v>42</v>
      </c>
      <c r="C2559">
        <v>14</v>
      </c>
      <c r="D2559" s="3">
        <v>4.25</v>
      </c>
      <c r="E2559" s="3">
        <v>59.5</v>
      </c>
      <c r="F2559">
        <v>17</v>
      </c>
      <c r="G2559">
        <v>3</v>
      </c>
      <c r="H2559" s="4">
        <v>1.6</v>
      </c>
      <c r="I2559" t="s">
        <v>33</v>
      </c>
      <c r="J2559" t="s">
        <v>33</v>
      </c>
      <c r="L2559">
        <f t="shared" si="78"/>
        <v>2022</v>
      </c>
      <c r="M2559" t="str">
        <f t="shared" si="79"/>
        <v>COVID Period</v>
      </c>
    </row>
    <row r="2560" spans="1:13" x14ac:dyDescent="0.25">
      <c r="A2560" s="2">
        <v>44844</v>
      </c>
      <c r="B2560" t="s">
        <v>43</v>
      </c>
      <c r="C2560">
        <v>7</v>
      </c>
      <c r="D2560" s="3">
        <v>5.46</v>
      </c>
      <c r="E2560" s="3">
        <v>38.22</v>
      </c>
      <c r="F2560">
        <v>8</v>
      </c>
      <c r="G2560">
        <v>1</v>
      </c>
      <c r="H2560" s="4">
        <v>2.7</v>
      </c>
      <c r="I2560" t="s">
        <v>33</v>
      </c>
      <c r="J2560" t="s">
        <v>46</v>
      </c>
      <c r="L2560">
        <f t="shared" si="78"/>
        <v>2022</v>
      </c>
      <c r="M2560" t="str">
        <f t="shared" si="79"/>
        <v>COVID Period</v>
      </c>
    </row>
    <row r="2561" spans="1:13" x14ac:dyDescent="0.25">
      <c r="A2561" s="2">
        <v>44844</v>
      </c>
      <c r="B2561" t="s">
        <v>44</v>
      </c>
      <c r="C2561">
        <v>0</v>
      </c>
      <c r="D2561" s="3">
        <v>4.8</v>
      </c>
      <c r="E2561" s="3">
        <v>0</v>
      </c>
      <c r="F2561">
        <v>3</v>
      </c>
      <c r="G2561">
        <v>4</v>
      </c>
      <c r="H2561" s="4">
        <v>0.5</v>
      </c>
      <c r="I2561" t="s">
        <v>33</v>
      </c>
      <c r="J2561" t="s">
        <v>33</v>
      </c>
      <c r="L2561">
        <f t="shared" si="78"/>
        <v>2022</v>
      </c>
      <c r="M2561" t="str">
        <f t="shared" si="79"/>
        <v>COVID Period</v>
      </c>
    </row>
    <row r="2562" spans="1:13" x14ac:dyDescent="0.25">
      <c r="A2562" s="2">
        <v>44844</v>
      </c>
      <c r="B2562" t="s">
        <v>45</v>
      </c>
      <c r="C2562">
        <v>1</v>
      </c>
      <c r="D2562" s="3">
        <v>14.77</v>
      </c>
      <c r="E2562" s="3">
        <v>14.77</v>
      </c>
      <c r="F2562">
        <v>3</v>
      </c>
      <c r="G2562">
        <v>3</v>
      </c>
      <c r="H2562" s="4">
        <v>2.2999999999999998</v>
      </c>
      <c r="I2562" t="s">
        <v>46</v>
      </c>
      <c r="J2562" t="s">
        <v>33</v>
      </c>
      <c r="L2562">
        <f t="shared" ref="L2562:L2625" si="80">YEAR(A2562)</f>
        <v>2022</v>
      </c>
      <c r="M2562" t="str">
        <f t="shared" ref="M2562:M2625" si="81">IF(L2562=2019,"Pre-COVID","COVID Period")</f>
        <v>COVID Period</v>
      </c>
    </row>
    <row r="2563" spans="1:13" x14ac:dyDescent="0.25">
      <c r="A2563" s="2">
        <v>44851</v>
      </c>
      <c r="B2563" t="s">
        <v>32</v>
      </c>
      <c r="C2563">
        <v>24</v>
      </c>
      <c r="D2563" s="3">
        <v>7.13</v>
      </c>
      <c r="E2563" s="3">
        <v>171.12</v>
      </c>
      <c r="F2563">
        <v>25</v>
      </c>
      <c r="G2563">
        <v>5</v>
      </c>
      <c r="H2563" s="4">
        <v>2.1</v>
      </c>
      <c r="I2563" t="s">
        <v>33</v>
      </c>
      <c r="J2563" t="s">
        <v>33</v>
      </c>
      <c r="L2563">
        <f t="shared" si="80"/>
        <v>2022</v>
      </c>
      <c r="M2563" t="str">
        <f t="shared" si="81"/>
        <v>COVID Period</v>
      </c>
    </row>
    <row r="2564" spans="1:13" x14ac:dyDescent="0.25">
      <c r="A2564" s="2">
        <v>44851</v>
      </c>
      <c r="B2564" t="s">
        <v>34</v>
      </c>
      <c r="C2564">
        <v>16</v>
      </c>
      <c r="D2564" s="3">
        <v>6.97</v>
      </c>
      <c r="E2564" s="3">
        <v>111.52</v>
      </c>
      <c r="F2564">
        <v>19</v>
      </c>
      <c r="G2564">
        <v>5</v>
      </c>
      <c r="H2564" s="4">
        <v>2.1</v>
      </c>
      <c r="I2564" t="s">
        <v>33</v>
      </c>
      <c r="J2564" t="s">
        <v>33</v>
      </c>
      <c r="L2564">
        <f t="shared" si="80"/>
        <v>2022</v>
      </c>
      <c r="M2564" t="str">
        <f t="shared" si="81"/>
        <v>COVID Period</v>
      </c>
    </row>
    <row r="2565" spans="1:13" x14ac:dyDescent="0.25">
      <c r="A2565" s="2">
        <v>44851</v>
      </c>
      <c r="B2565" t="s">
        <v>35</v>
      </c>
      <c r="C2565">
        <v>8</v>
      </c>
      <c r="D2565" s="3">
        <v>5.82</v>
      </c>
      <c r="E2565" s="3">
        <v>46.56</v>
      </c>
      <c r="F2565">
        <v>12</v>
      </c>
      <c r="G2565">
        <v>4</v>
      </c>
      <c r="H2565" s="4">
        <v>2.2000000000000002</v>
      </c>
      <c r="I2565" t="s">
        <v>33</v>
      </c>
      <c r="J2565" t="s">
        <v>33</v>
      </c>
      <c r="L2565">
        <f t="shared" si="80"/>
        <v>2022</v>
      </c>
      <c r="M2565" t="str">
        <f t="shared" si="81"/>
        <v>COVID Period</v>
      </c>
    </row>
    <row r="2566" spans="1:13" x14ac:dyDescent="0.25">
      <c r="A2566" s="2">
        <v>44851</v>
      </c>
      <c r="B2566" t="s">
        <v>36</v>
      </c>
      <c r="C2566">
        <v>6</v>
      </c>
      <c r="D2566" s="3">
        <v>6.35</v>
      </c>
      <c r="E2566" s="3">
        <v>38.1</v>
      </c>
      <c r="F2566">
        <v>9</v>
      </c>
      <c r="G2566">
        <v>4</v>
      </c>
      <c r="H2566" s="4">
        <v>0.6</v>
      </c>
      <c r="I2566" t="s">
        <v>33</v>
      </c>
      <c r="J2566" t="s">
        <v>33</v>
      </c>
      <c r="L2566">
        <f t="shared" si="80"/>
        <v>2022</v>
      </c>
      <c r="M2566" t="str">
        <f t="shared" si="81"/>
        <v>COVID Period</v>
      </c>
    </row>
    <row r="2567" spans="1:13" x14ac:dyDescent="0.25">
      <c r="A2567" s="2">
        <v>44851</v>
      </c>
      <c r="B2567" t="s">
        <v>37</v>
      </c>
      <c r="C2567">
        <v>18</v>
      </c>
      <c r="D2567" s="3">
        <v>3.09</v>
      </c>
      <c r="E2567" s="3">
        <v>55.62</v>
      </c>
      <c r="F2567">
        <v>25</v>
      </c>
      <c r="G2567">
        <v>8</v>
      </c>
      <c r="H2567" s="4">
        <v>1.7</v>
      </c>
      <c r="I2567" t="s">
        <v>33</v>
      </c>
      <c r="J2567" t="s">
        <v>33</v>
      </c>
      <c r="L2567">
        <f t="shared" si="80"/>
        <v>2022</v>
      </c>
      <c r="M2567" t="str">
        <f t="shared" si="81"/>
        <v>COVID Period</v>
      </c>
    </row>
    <row r="2568" spans="1:13" x14ac:dyDescent="0.25">
      <c r="A2568" s="2">
        <v>44851</v>
      </c>
      <c r="B2568" t="s">
        <v>38</v>
      </c>
      <c r="C2568">
        <v>15</v>
      </c>
      <c r="D2568" s="3">
        <v>8.25</v>
      </c>
      <c r="E2568" s="3">
        <v>123.75</v>
      </c>
      <c r="F2568">
        <v>23</v>
      </c>
      <c r="G2568">
        <v>8</v>
      </c>
      <c r="H2568" s="4">
        <v>0.5</v>
      </c>
      <c r="I2568" t="s">
        <v>33</v>
      </c>
      <c r="J2568" t="s">
        <v>33</v>
      </c>
      <c r="L2568">
        <f t="shared" si="80"/>
        <v>2022</v>
      </c>
      <c r="M2568" t="str">
        <f t="shared" si="81"/>
        <v>COVID Period</v>
      </c>
    </row>
    <row r="2569" spans="1:13" x14ac:dyDescent="0.25">
      <c r="A2569" s="2">
        <v>44851</v>
      </c>
      <c r="B2569" t="s">
        <v>39</v>
      </c>
      <c r="C2569">
        <v>17</v>
      </c>
      <c r="D2569" s="3">
        <v>11.85</v>
      </c>
      <c r="E2569" s="3">
        <v>201.45</v>
      </c>
      <c r="F2569">
        <v>19</v>
      </c>
      <c r="G2569">
        <v>4</v>
      </c>
      <c r="H2569" s="4">
        <v>1.3</v>
      </c>
      <c r="I2569" t="s">
        <v>33</v>
      </c>
      <c r="J2569" t="s">
        <v>33</v>
      </c>
      <c r="L2569">
        <f t="shared" si="80"/>
        <v>2022</v>
      </c>
      <c r="M2569" t="str">
        <f t="shared" si="81"/>
        <v>COVID Period</v>
      </c>
    </row>
    <row r="2570" spans="1:13" x14ac:dyDescent="0.25">
      <c r="A2570" s="2">
        <v>44851</v>
      </c>
      <c r="B2570" t="s">
        <v>40</v>
      </c>
      <c r="C2570">
        <v>20</v>
      </c>
      <c r="D2570" s="3">
        <v>0.65</v>
      </c>
      <c r="E2570" s="3">
        <v>13</v>
      </c>
      <c r="F2570">
        <v>32</v>
      </c>
      <c r="G2570">
        <v>16</v>
      </c>
      <c r="H2570" s="4">
        <v>4.5</v>
      </c>
      <c r="I2570" t="s">
        <v>33</v>
      </c>
      <c r="J2570" t="s">
        <v>33</v>
      </c>
      <c r="L2570">
        <f t="shared" si="80"/>
        <v>2022</v>
      </c>
      <c r="M2570" t="str">
        <f t="shared" si="81"/>
        <v>COVID Period</v>
      </c>
    </row>
    <row r="2571" spans="1:13" x14ac:dyDescent="0.25">
      <c r="A2571" s="2">
        <v>44851</v>
      </c>
      <c r="B2571" t="s">
        <v>41</v>
      </c>
      <c r="C2571">
        <v>10</v>
      </c>
      <c r="D2571" s="3">
        <v>1.37</v>
      </c>
      <c r="E2571" s="3">
        <v>13.7</v>
      </c>
      <c r="F2571">
        <v>11</v>
      </c>
      <c r="G2571">
        <v>1</v>
      </c>
      <c r="H2571" s="4">
        <v>3.1</v>
      </c>
      <c r="I2571" t="s">
        <v>33</v>
      </c>
      <c r="J2571" t="s">
        <v>46</v>
      </c>
      <c r="L2571">
        <f t="shared" si="80"/>
        <v>2022</v>
      </c>
      <c r="M2571" t="str">
        <f t="shared" si="81"/>
        <v>COVID Period</v>
      </c>
    </row>
    <row r="2572" spans="1:13" x14ac:dyDescent="0.25">
      <c r="A2572" s="2">
        <v>44851</v>
      </c>
      <c r="B2572" t="s">
        <v>42</v>
      </c>
      <c r="C2572">
        <v>16</v>
      </c>
      <c r="D2572" s="3">
        <v>4.07</v>
      </c>
      <c r="E2572" s="3">
        <v>65.12</v>
      </c>
      <c r="F2572">
        <v>24</v>
      </c>
      <c r="G2572">
        <v>9</v>
      </c>
      <c r="H2572" s="4">
        <v>1.5</v>
      </c>
      <c r="I2572" t="s">
        <v>33</v>
      </c>
      <c r="J2572" t="s">
        <v>33</v>
      </c>
      <c r="L2572">
        <f t="shared" si="80"/>
        <v>2022</v>
      </c>
      <c r="M2572" t="str">
        <f t="shared" si="81"/>
        <v>COVID Period</v>
      </c>
    </row>
    <row r="2573" spans="1:13" x14ac:dyDescent="0.25">
      <c r="A2573" s="2">
        <v>44851</v>
      </c>
      <c r="B2573" t="s">
        <v>43</v>
      </c>
      <c r="C2573">
        <v>9</v>
      </c>
      <c r="D2573" s="3">
        <v>5.52</v>
      </c>
      <c r="E2573" s="3">
        <v>49.68</v>
      </c>
      <c r="F2573">
        <v>12</v>
      </c>
      <c r="G2573">
        <v>3</v>
      </c>
      <c r="H2573" s="4">
        <v>3.5</v>
      </c>
      <c r="I2573" t="s">
        <v>33</v>
      </c>
      <c r="J2573" t="s">
        <v>33</v>
      </c>
      <c r="L2573">
        <f t="shared" si="80"/>
        <v>2022</v>
      </c>
      <c r="M2573" t="str">
        <f t="shared" si="81"/>
        <v>COVID Period</v>
      </c>
    </row>
    <row r="2574" spans="1:13" x14ac:dyDescent="0.25">
      <c r="A2574" s="2">
        <v>44851</v>
      </c>
      <c r="B2574" t="s">
        <v>44</v>
      </c>
      <c r="C2574">
        <v>0</v>
      </c>
      <c r="D2574" s="3">
        <v>4.87</v>
      </c>
      <c r="E2574" s="3">
        <v>0</v>
      </c>
      <c r="F2574">
        <v>3</v>
      </c>
      <c r="G2574">
        <v>3</v>
      </c>
      <c r="H2574" s="4">
        <v>0.8</v>
      </c>
      <c r="I2574" t="s">
        <v>33</v>
      </c>
      <c r="J2574" t="s">
        <v>33</v>
      </c>
      <c r="L2574">
        <f t="shared" si="80"/>
        <v>2022</v>
      </c>
      <c r="M2574" t="str">
        <f t="shared" si="81"/>
        <v>COVID Period</v>
      </c>
    </row>
    <row r="2575" spans="1:13" x14ac:dyDescent="0.25">
      <c r="A2575" s="2">
        <v>44851</v>
      </c>
      <c r="B2575" t="s">
        <v>45</v>
      </c>
      <c r="C2575">
        <v>0</v>
      </c>
      <c r="D2575" s="3">
        <v>15.28</v>
      </c>
      <c r="E2575" s="3">
        <v>0</v>
      </c>
      <c r="F2575">
        <v>3</v>
      </c>
      <c r="G2575">
        <v>3</v>
      </c>
      <c r="H2575" s="4">
        <v>2.2999999999999998</v>
      </c>
      <c r="I2575" t="s">
        <v>33</v>
      </c>
      <c r="J2575" t="s">
        <v>33</v>
      </c>
      <c r="L2575">
        <f t="shared" si="80"/>
        <v>2022</v>
      </c>
      <c r="M2575" t="str">
        <f t="shared" si="81"/>
        <v>COVID Period</v>
      </c>
    </row>
    <row r="2576" spans="1:13" x14ac:dyDescent="0.25">
      <c r="A2576" s="2">
        <v>44858</v>
      </c>
      <c r="B2576" t="s">
        <v>32</v>
      </c>
      <c r="C2576">
        <v>21</v>
      </c>
      <c r="D2576" s="3">
        <v>6.97</v>
      </c>
      <c r="E2576" s="3">
        <v>146.37</v>
      </c>
      <c r="F2576">
        <v>30</v>
      </c>
      <c r="G2576">
        <v>14</v>
      </c>
      <c r="H2576" s="4">
        <v>2.7</v>
      </c>
      <c r="I2576" t="s">
        <v>33</v>
      </c>
      <c r="J2576" t="s">
        <v>33</v>
      </c>
      <c r="L2576">
        <f t="shared" si="80"/>
        <v>2022</v>
      </c>
      <c r="M2576" t="str">
        <f t="shared" si="81"/>
        <v>COVID Period</v>
      </c>
    </row>
    <row r="2577" spans="1:13" x14ac:dyDescent="0.25">
      <c r="A2577" s="2">
        <v>44858</v>
      </c>
      <c r="B2577" t="s">
        <v>34</v>
      </c>
      <c r="C2577">
        <v>13</v>
      </c>
      <c r="D2577" s="3">
        <v>7.17</v>
      </c>
      <c r="E2577" s="3">
        <v>93.21</v>
      </c>
      <c r="F2577">
        <v>21</v>
      </c>
      <c r="G2577">
        <v>8</v>
      </c>
      <c r="H2577" s="4">
        <v>2.5</v>
      </c>
      <c r="I2577" t="s">
        <v>33</v>
      </c>
      <c r="J2577" t="s">
        <v>33</v>
      </c>
      <c r="L2577">
        <f t="shared" si="80"/>
        <v>2022</v>
      </c>
      <c r="M2577" t="str">
        <f t="shared" si="81"/>
        <v>COVID Period</v>
      </c>
    </row>
    <row r="2578" spans="1:13" x14ac:dyDescent="0.25">
      <c r="A2578" s="2">
        <v>44858</v>
      </c>
      <c r="B2578" t="s">
        <v>35</v>
      </c>
      <c r="C2578">
        <v>8</v>
      </c>
      <c r="D2578" s="3">
        <v>5.83</v>
      </c>
      <c r="E2578" s="3">
        <v>46.64</v>
      </c>
      <c r="F2578">
        <v>12</v>
      </c>
      <c r="G2578">
        <v>5</v>
      </c>
      <c r="H2578" s="4">
        <v>2.7</v>
      </c>
      <c r="I2578" t="s">
        <v>33</v>
      </c>
      <c r="J2578" t="s">
        <v>33</v>
      </c>
      <c r="L2578">
        <f t="shared" si="80"/>
        <v>2022</v>
      </c>
      <c r="M2578" t="str">
        <f t="shared" si="81"/>
        <v>COVID Period</v>
      </c>
    </row>
    <row r="2579" spans="1:13" x14ac:dyDescent="0.25">
      <c r="A2579" s="2">
        <v>44858</v>
      </c>
      <c r="B2579" t="s">
        <v>36</v>
      </c>
      <c r="C2579">
        <v>13</v>
      </c>
      <c r="D2579" s="3">
        <v>5.99</v>
      </c>
      <c r="E2579" s="3">
        <v>77.87</v>
      </c>
      <c r="F2579">
        <v>20</v>
      </c>
      <c r="G2579">
        <v>7</v>
      </c>
      <c r="H2579" s="4">
        <v>0.6</v>
      </c>
      <c r="I2579" t="s">
        <v>33</v>
      </c>
      <c r="J2579" t="s">
        <v>33</v>
      </c>
      <c r="L2579">
        <f t="shared" si="80"/>
        <v>2022</v>
      </c>
      <c r="M2579" t="str">
        <f t="shared" si="81"/>
        <v>COVID Period</v>
      </c>
    </row>
    <row r="2580" spans="1:13" x14ac:dyDescent="0.25">
      <c r="A2580" s="2">
        <v>44858</v>
      </c>
      <c r="B2580" t="s">
        <v>37</v>
      </c>
      <c r="C2580">
        <v>17</v>
      </c>
      <c r="D2580" s="3">
        <v>3.12</v>
      </c>
      <c r="E2580" s="3">
        <v>53.04</v>
      </c>
      <c r="F2580">
        <v>22</v>
      </c>
      <c r="G2580">
        <v>9</v>
      </c>
      <c r="H2580" s="4">
        <v>0.8</v>
      </c>
      <c r="I2580" t="s">
        <v>33</v>
      </c>
      <c r="J2580" t="s">
        <v>33</v>
      </c>
      <c r="L2580">
        <f t="shared" si="80"/>
        <v>2022</v>
      </c>
      <c r="M2580" t="str">
        <f t="shared" si="81"/>
        <v>COVID Period</v>
      </c>
    </row>
    <row r="2581" spans="1:13" x14ac:dyDescent="0.25">
      <c r="A2581" s="2">
        <v>44858</v>
      </c>
      <c r="B2581" t="s">
        <v>38</v>
      </c>
      <c r="C2581">
        <v>10</v>
      </c>
      <c r="D2581" s="3">
        <v>8.58</v>
      </c>
      <c r="E2581" s="3">
        <v>85.8</v>
      </c>
      <c r="F2581">
        <v>11</v>
      </c>
      <c r="G2581">
        <v>2</v>
      </c>
      <c r="H2581" s="4">
        <v>0.8</v>
      </c>
      <c r="I2581" t="s">
        <v>33</v>
      </c>
      <c r="J2581" t="s">
        <v>33</v>
      </c>
      <c r="L2581">
        <f t="shared" si="80"/>
        <v>2022</v>
      </c>
      <c r="M2581" t="str">
        <f t="shared" si="81"/>
        <v>COVID Period</v>
      </c>
    </row>
    <row r="2582" spans="1:13" x14ac:dyDescent="0.25">
      <c r="A2582" s="2">
        <v>44858</v>
      </c>
      <c r="B2582" t="s">
        <v>39</v>
      </c>
      <c r="C2582">
        <v>24</v>
      </c>
      <c r="D2582" s="3">
        <v>11.7</v>
      </c>
      <c r="E2582" s="3">
        <v>280.8</v>
      </c>
      <c r="F2582">
        <v>35</v>
      </c>
      <c r="G2582">
        <v>15</v>
      </c>
      <c r="H2582" s="4">
        <v>1.9</v>
      </c>
      <c r="I2582" t="s">
        <v>33</v>
      </c>
      <c r="J2582" t="s">
        <v>33</v>
      </c>
      <c r="L2582">
        <f t="shared" si="80"/>
        <v>2022</v>
      </c>
      <c r="M2582" t="str">
        <f t="shared" si="81"/>
        <v>COVID Period</v>
      </c>
    </row>
    <row r="2583" spans="1:13" x14ac:dyDescent="0.25">
      <c r="A2583" s="2">
        <v>44858</v>
      </c>
      <c r="B2583" t="s">
        <v>40</v>
      </c>
      <c r="C2583">
        <v>17</v>
      </c>
      <c r="D2583" s="3">
        <v>0.66</v>
      </c>
      <c r="E2583" s="3">
        <v>11.22</v>
      </c>
      <c r="F2583">
        <v>25</v>
      </c>
      <c r="G2583">
        <v>9</v>
      </c>
      <c r="H2583" s="4">
        <v>2.6</v>
      </c>
      <c r="I2583" t="s">
        <v>33</v>
      </c>
      <c r="J2583" t="s">
        <v>33</v>
      </c>
      <c r="L2583">
        <f t="shared" si="80"/>
        <v>2022</v>
      </c>
      <c r="M2583" t="str">
        <f t="shared" si="81"/>
        <v>COVID Period</v>
      </c>
    </row>
    <row r="2584" spans="1:13" x14ac:dyDescent="0.25">
      <c r="A2584" s="2">
        <v>44858</v>
      </c>
      <c r="B2584" t="s">
        <v>41</v>
      </c>
      <c r="C2584">
        <v>12</v>
      </c>
      <c r="D2584" s="3">
        <v>1.36</v>
      </c>
      <c r="E2584" s="3">
        <v>16.32</v>
      </c>
      <c r="F2584">
        <v>14</v>
      </c>
      <c r="G2584">
        <v>4</v>
      </c>
      <c r="H2584" s="4">
        <v>1.8</v>
      </c>
      <c r="I2584" t="s">
        <v>33</v>
      </c>
      <c r="J2584" t="s">
        <v>33</v>
      </c>
      <c r="L2584">
        <f t="shared" si="80"/>
        <v>2022</v>
      </c>
      <c r="M2584" t="str">
        <f t="shared" si="81"/>
        <v>COVID Period</v>
      </c>
    </row>
    <row r="2585" spans="1:13" x14ac:dyDescent="0.25">
      <c r="A2585" s="2">
        <v>44858</v>
      </c>
      <c r="B2585" t="s">
        <v>42</v>
      </c>
      <c r="C2585">
        <v>17</v>
      </c>
      <c r="D2585" s="3">
        <v>4.1500000000000004</v>
      </c>
      <c r="E2585" s="3">
        <v>70.55</v>
      </c>
      <c r="F2585">
        <v>18</v>
      </c>
      <c r="G2585">
        <v>3</v>
      </c>
      <c r="H2585" s="4">
        <v>0.7</v>
      </c>
      <c r="I2585" t="s">
        <v>33</v>
      </c>
      <c r="J2585" t="s">
        <v>33</v>
      </c>
      <c r="L2585">
        <f t="shared" si="80"/>
        <v>2022</v>
      </c>
      <c r="M2585" t="str">
        <f t="shared" si="81"/>
        <v>COVID Period</v>
      </c>
    </row>
    <row r="2586" spans="1:13" x14ac:dyDescent="0.25">
      <c r="A2586" s="2">
        <v>44858</v>
      </c>
      <c r="B2586" t="s">
        <v>43</v>
      </c>
      <c r="C2586">
        <v>11</v>
      </c>
      <c r="D2586" s="3">
        <v>5.48</v>
      </c>
      <c r="E2586" s="3">
        <v>60.28</v>
      </c>
      <c r="F2586">
        <v>17</v>
      </c>
      <c r="G2586">
        <v>7</v>
      </c>
      <c r="H2586" s="4">
        <v>2.7</v>
      </c>
      <c r="I2586" t="s">
        <v>33</v>
      </c>
      <c r="J2586" t="s">
        <v>33</v>
      </c>
      <c r="L2586">
        <f t="shared" si="80"/>
        <v>2022</v>
      </c>
      <c r="M2586" t="str">
        <f t="shared" si="81"/>
        <v>COVID Period</v>
      </c>
    </row>
    <row r="2587" spans="1:13" x14ac:dyDescent="0.25">
      <c r="A2587" s="2">
        <v>44858</v>
      </c>
      <c r="B2587" t="s">
        <v>44</v>
      </c>
      <c r="C2587">
        <v>0</v>
      </c>
      <c r="D2587" s="3">
        <v>4.97</v>
      </c>
      <c r="E2587" s="3">
        <v>0</v>
      </c>
      <c r="F2587">
        <v>3</v>
      </c>
      <c r="G2587">
        <v>3</v>
      </c>
      <c r="H2587" s="4">
        <v>3.1</v>
      </c>
      <c r="I2587" t="s">
        <v>33</v>
      </c>
      <c r="J2587" t="s">
        <v>33</v>
      </c>
      <c r="L2587">
        <f t="shared" si="80"/>
        <v>2022</v>
      </c>
      <c r="M2587" t="str">
        <f t="shared" si="81"/>
        <v>COVID Period</v>
      </c>
    </row>
    <row r="2588" spans="1:13" x14ac:dyDescent="0.25">
      <c r="A2588" s="2">
        <v>44858</v>
      </c>
      <c r="B2588" t="s">
        <v>45</v>
      </c>
      <c r="C2588">
        <v>1</v>
      </c>
      <c r="D2588" s="3">
        <v>15.48</v>
      </c>
      <c r="E2588" s="3">
        <v>15.48</v>
      </c>
      <c r="F2588">
        <v>3</v>
      </c>
      <c r="G2588">
        <v>2</v>
      </c>
      <c r="H2588" s="4">
        <v>2</v>
      </c>
      <c r="I2588" t="s">
        <v>46</v>
      </c>
      <c r="J2588" t="s">
        <v>33</v>
      </c>
      <c r="L2588">
        <f t="shared" si="80"/>
        <v>2022</v>
      </c>
      <c r="M2588" t="str">
        <f t="shared" si="81"/>
        <v>COVID Period</v>
      </c>
    </row>
    <row r="2589" spans="1:13" x14ac:dyDescent="0.25">
      <c r="A2589" s="2">
        <v>44865</v>
      </c>
      <c r="B2589" t="s">
        <v>32</v>
      </c>
      <c r="C2589">
        <v>12</v>
      </c>
      <c r="D2589" s="3">
        <v>6.76</v>
      </c>
      <c r="E2589" s="3">
        <v>81.12</v>
      </c>
      <c r="F2589">
        <v>18</v>
      </c>
      <c r="G2589">
        <v>8</v>
      </c>
      <c r="H2589" s="4">
        <v>1.5</v>
      </c>
      <c r="I2589" t="s">
        <v>33</v>
      </c>
      <c r="J2589" t="s">
        <v>33</v>
      </c>
      <c r="L2589">
        <f t="shared" si="80"/>
        <v>2022</v>
      </c>
      <c r="M2589" t="str">
        <f t="shared" si="81"/>
        <v>COVID Period</v>
      </c>
    </row>
    <row r="2590" spans="1:13" x14ac:dyDescent="0.25">
      <c r="A2590" s="2">
        <v>44865</v>
      </c>
      <c r="B2590" t="s">
        <v>34</v>
      </c>
      <c r="C2590">
        <v>16</v>
      </c>
      <c r="D2590" s="3">
        <v>7.03</v>
      </c>
      <c r="E2590" s="3">
        <v>112.48</v>
      </c>
      <c r="F2590">
        <v>22</v>
      </c>
      <c r="G2590">
        <v>7</v>
      </c>
      <c r="H2590" s="4">
        <v>2.8</v>
      </c>
      <c r="I2590" t="s">
        <v>33</v>
      </c>
      <c r="J2590" t="s">
        <v>33</v>
      </c>
      <c r="L2590">
        <f t="shared" si="80"/>
        <v>2022</v>
      </c>
      <c r="M2590" t="str">
        <f t="shared" si="81"/>
        <v>COVID Period</v>
      </c>
    </row>
    <row r="2591" spans="1:13" x14ac:dyDescent="0.25">
      <c r="A2591" s="2">
        <v>44865</v>
      </c>
      <c r="B2591" t="s">
        <v>35</v>
      </c>
      <c r="C2591">
        <v>8</v>
      </c>
      <c r="D2591" s="3">
        <v>5.78</v>
      </c>
      <c r="E2591" s="3">
        <v>46.24</v>
      </c>
      <c r="F2591">
        <v>9</v>
      </c>
      <c r="G2591">
        <v>3</v>
      </c>
      <c r="H2591" s="4">
        <v>3.5</v>
      </c>
      <c r="I2591" t="s">
        <v>33</v>
      </c>
      <c r="J2591" t="s">
        <v>33</v>
      </c>
      <c r="L2591">
        <f t="shared" si="80"/>
        <v>2022</v>
      </c>
      <c r="M2591" t="str">
        <f t="shared" si="81"/>
        <v>COVID Period</v>
      </c>
    </row>
    <row r="2592" spans="1:13" x14ac:dyDescent="0.25">
      <c r="A2592" s="2">
        <v>44865</v>
      </c>
      <c r="B2592" t="s">
        <v>36</v>
      </c>
      <c r="C2592">
        <v>10</v>
      </c>
      <c r="D2592" s="3">
        <v>6.14</v>
      </c>
      <c r="E2592" s="3">
        <v>61.4</v>
      </c>
      <c r="F2592">
        <v>16</v>
      </c>
      <c r="G2592">
        <v>8</v>
      </c>
      <c r="H2592" s="4">
        <v>1.8</v>
      </c>
      <c r="I2592" t="s">
        <v>33</v>
      </c>
      <c r="J2592" t="s">
        <v>33</v>
      </c>
      <c r="L2592">
        <f t="shared" si="80"/>
        <v>2022</v>
      </c>
      <c r="M2592" t="str">
        <f t="shared" si="81"/>
        <v>COVID Period</v>
      </c>
    </row>
    <row r="2593" spans="1:13" x14ac:dyDescent="0.25">
      <c r="A2593" s="2">
        <v>44865</v>
      </c>
      <c r="B2593" t="s">
        <v>37</v>
      </c>
      <c r="C2593">
        <v>12</v>
      </c>
      <c r="D2593" s="3">
        <v>3.26</v>
      </c>
      <c r="E2593" s="3">
        <v>39.119999999999997</v>
      </c>
      <c r="F2593">
        <v>12</v>
      </c>
      <c r="G2593">
        <v>1</v>
      </c>
      <c r="H2593" s="4">
        <v>1.5</v>
      </c>
      <c r="I2593" t="s">
        <v>33</v>
      </c>
      <c r="J2593" t="s">
        <v>33</v>
      </c>
      <c r="L2593">
        <f t="shared" si="80"/>
        <v>2022</v>
      </c>
      <c r="M2593" t="str">
        <f t="shared" si="81"/>
        <v>COVID Period</v>
      </c>
    </row>
    <row r="2594" spans="1:13" x14ac:dyDescent="0.25">
      <c r="A2594" s="2">
        <v>44865</v>
      </c>
      <c r="B2594" t="s">
        <v>38</v>
      </c>
      <c r="C2594">
        <v>12</v>
      </c>
      <c r="D2594" s="3">
        <v>8.74</v>
      </c>
      <c r="E2594" s="3">
        <v>104.88</v>
      </c>
      <c r="F2594">
        <v>18</v>
      </c>
      <c r="G2594">
        <v>7</v>
      </c>
      <c r="H2594" s="4">
        <v>1.3</v>
      </c>
      <c r="I2594" t="s">
        <v>33</v>
      </c>
      <c r="J2594" t="s">
        <v>33</v>
      </c>
      <c r="L2594">
        <f t="shared" si="80"/>
        <v>2022</v>
      </c>
      <c r="M2594" t="str">
        <f t="shared" si="81"/>
        <v>COVID Period</v>
      </c>
    </row>
    <row r="2595" spans="1:13" x14ac:dyDescent="0.25">
      <c r="A2595" s="2">
        <v>44865</v>
      </c>
      <c r="B2595" t="s">
        <v>39</v>
      </c>
      <c r="C2595">
        <v>21</v>
      </c>
      <c r="D2595" s="3">
        <v>11.7</v>
      </c>
      <c r="E2595" s="3">
        <v>245.7</v>
      </c>
      <c r="F2595">
        <v>24</v>
      </c>
      <c r="G2595">
        <v>5</v>
      </c>
      <c r="H2595" s="4">
        <v>2.8</v>
      </c>
      <c r="I2595" t="s">
        <v>33</v>
      </c>
      <c r="J2595" t="s">
        <v>33</v>
      </c>
      <c r="L2595">
        <f t="shared" si="80"/>
        <v>2022</v>
      </c>
      <c r="M2595" t="str">
        <f t="shared" si="81"/>
        <v>COVID Period</v>
      </c>
    </row>
    <row r="2596" spans="1:13" x14ac:dyDescent="0.25">
      <c r="A2596" s="2">
        <v>44865</v>
      </c>
      <c r="B2596" t="s">
        <v>40</v>
      </c>
      <c r="C2596">
        <v>23</v>
      </c>
      <c r="D2596" s="3">
        <v>0.65</v>
      </c>
      <c r="E2596" s="3">
        <v>14.95</v>
      </c>
      <c r="F2596">
        <v>28</v>
      </c>
      <c r="G2596">
        <v>9</v>
      </c>
      <c r="H2596" s="4">
        <v>0.8</v>
      </c>
      <c r="I2596" t="s">
        <v>33</v>
      </c>
      <c r="J2596" t="s">
        <v>33</v>
      </c>
      <c r="L2596">
        <f t="shared" si="80"/>
        <v>2022</v>
      </c>
      <c r="M2596" t="str">
        <f t="shared" si="81"/>
        <v>COVID Period</v>
      </c>
    </row>
    <row r="2597" spans="1:13" x14ac:dyDescent="0.25">
      <c r="A2597" s="2">
        <v>44865</v>
      </c>
      <c r="B2597" t="s">
        <v>41</v>
      </c>
      <c r="C2597">
        <v>12</v>
      </c>
      <c r="D2597" s="3">
        <v>1.33</v>
      </c>
      <c r="E2597" s="3">
        <v>15.96</v>
      </c>
      <c r="F2597">
        <v>13</v>
      </c>
      <c r="G2597">
        <v>3</v>
      </c>
      <c r="H2597" s="4">
        <v>0.8</v>
      </c>
      <c r="I2597" t="s">
        <v>33</v>
      </c>
      <c r="J2597" t="s">
        <v>33</v>
      </c>
      <c r="L2597">
        <f t="shared" si="80"/>
        <v>2022</v>
      </c>
      <c r="M2597" t="str">
        <f t="shared" si="81"/>
        <v>COVID Period</v>
      </c>
    </row>
    <row r="2598" spans="1:13" x14ac:dyDescent="0.25">
      <c r="A2598" s="2">
        <v>44865</v>
      </c>
      <c r="B2598" t="s">
        <v>42</v>
      </c>
      <c r="C2598">
        <v>17</v>
      </c>
      <c r="D2598" s="3">
        <v>4.1900000000000004</v>
      </c>
      <c r="E2598" s="3">
        <v>71.23</v>
      </c>
      <c r="F2598">
        <v>18</v>
      </c>
      <c r="G2598">
        <v>2</v>
      </c>
      <c r="H2598" s="4">
        <v>3.5</v>
      </c>
      <c r="I2598" t="s">
        <v>33</v>
      </c>
      <c r="J2598" t="s">
        <v>46</v>
      </c>
      <c r="L2598">
        <f t="shared" si="80"/>
        <v>2022</v>
      </c>
      <c r="M2598" t="str">
        <f t="shared" si="81"/>
        <v>COVID Period</v>
      </c>
    </row>
    <row r="2599" spans="1:13" x14ac:dyDescent="0.25">
      <c r="A2599" s="2">
        <v>44865</v>
      </c>
      <c r="B2599" t="s">
        <v>43</v>
      </c>
      <c r="C2599">
        <v>12</v>
      </c>
      <c r="D2599" s="3">
        <v>5.35</v>
      </c>
      <c r="E2599" s="3">
        <v>64.2</v>
      </c>
      <c r="F2599">
        <v>13</v>
      </c>
      <c r="G2599">
        <v>2</v>
      </c>
      <c r="H2599" s="4">
        <v>3.7</v>
      </c>
      <c r="I2599" t="s">
        <v>33</v>
      </c>
      <c r="J2599" t="s">
        <v>46</v>
      </c>
      <c r="L2599">
        <f t="shared" si="80"/>
        <v>2022</v>
      </c>
      <c r="M2599" t="str">
        <f t="shared" si="81"/>
        <v>COVID Period</v>
      </c>
    </row>
    <row r="2600" spans="1:13" x14ac:dyDescent="0.25">
      <c r="A2600" s="2">
        <v>44865</v>
      </c>
      <c r="B2600" t="s">
        <v>44</v>
      </c>
      <c r="C2600">
        <v>2</v>
      </c>
      <c r="D2600" s="3">
        <v>5.0199999999999996</v>
      </c>
      <c r="E2600" s="3">
        <v>10.039999999999999</v>
      </c>
      <c r="F2600">
        <v>3</v>
      </c>
      <c r="G2600">
        <v>1</v>
      </c>
      <c r="H2600" s="4">
        <v>2</v>
      </c>
      <c r="I2600" t="s">
        <v>46</v>
      </c>
      <c r="J2600" t="s">
        <v>46</v>
      </c>
      <c r="K2600" t="s">
        <v>47</v>
      </c>
      <c r="L2600">
        <f t="shared" si="80"/>
        <v>2022</v>
      </c>
      <c r="M2600" t="str">
        <f t="shared" si="81"/>
        <v>COVID Period</v>
      </c>
    </row>
    <row r="2601" spans="1:13" x14ac:dyDescent="0.25">
      <c r="A2601" s="2">
        <v>44865</v>
      </c>
      <c r="B2601" t="s">
        <v>45</v>
      </c>
      <c r="C2601">
        <v>0</v>
      </c>
      <c r="D2601" s="3">
        <v>15.56</v>
      </c>
      <c r="E2601" s="3">
        <v>0</v>
      </c>
      <c r="F2601">
        <v>3</v>
      </c>
      <c r="G2601">
        <v>3</v>
      </c>
      <c r="H2601" s="4">
        <v>2.4</v>
      </c>
      <c r="I2601" t="s">
        <v>33</v>
      </c>
      <c r="J2601" t="s">
        <v>33</v>
      </c>
      <c r="L2601">
        <f t="shared" si="80"/>
        <v>2022</v>
      </c>
      <c r="M2601" t="str">
        <f t="shared" si="81"/>
        <v>COVID Period</v>
      </c>
    </row>
    <row r="2602" spans="1:13" x14ac:dyDescent="0.25">
      <c r="A2602" s="2">
        <v>44872</v>
      </c>
      <c r="B2602" t="s">
        <v>32</v>
      </c>
      <c r="C2602">
        <v>21</v>
      </c>
      <c r="D2602" s="3">
        <v>6.71</v>
      </c>
      <c r="E2602" s="3">
        <v>140.91</v>
      </c>
      <c r="F2602">
        <v>23</v>
      </c>
      <c r="G2602">
        <v>3</v>
      </c>
      <c r="H2602" s="4">
        <v>0.5</v>
      </c>
      <c r="I2602" t="s">
        <v>33</v>
      </c>
      <c r="J2602" t="s">
        <v>33</v>
      </c>
      <c r="L2602">
        <f t="shared" si="80"/>
        <v>2022</v>
      </c>
      <c r="M2602" t="str">
        <f t="shared" si="81"/>
        <v>COVID Period</v>
      </c>
    </row>
    <row r="2603" spans="1:13" x14ac:dyDescent="0.25">
      <c r="A2603" s="2">
        <v>44872</v>
      </c>
      <c r="B2603" t="s">
        <v>34</v>
      </c>
      <c r="C2603">
        <v>24</v>
      </c>
      <c r="D2603" s="3">
        <v>7.3</v>
      </c>
      <c r="E2603" s="3">
        <v>175.2</v>
      </c>
      <c r="F2603">
        <v>34</v>
      </c>
      <c r="G2603">
        <v>15</v>
      </c>
      <c r="H2603" s="4">
        <v>1.5</v>
      </c>
      <c r="I2603" t="s">
        <v>33</v>
      </c>
      <c r="J2603" t="s">
        <v>33</v>
      </c>
      <c r="L2603">
        <f t="shared" si="80"/>
        <v>2022</v>
      </c>
      <c r="M2603" t="str">
        <f t="shared" si="81"/>
        <v>COVID Period</v>
      </c>
    </row>
    <row r="2604" spans="1:13" x14ac:dyDescent="0.25">
      <c r="A2604" s="2">
        <v>44872</v>
      </c>
      <c r="B2604" t="s">
        <v>35</v>
      </c>
      <c r="C2604">
        <v>13</v>
      </c>
      <c r="D2604" s="3">
        <v>6.01</v>
      </c>
      <c r="E2604" s="3">
        <v>78.13</v>
      </c>
      <c r="F2604">
        <v>18</v>
      </c>
      <c r="G2604">
        <v>6</v>
      </c>
      <c r="H2604" s="4">
        <v>1.1000000000000001</v>
      </c>
      <c r="I2604" t="s">
        <v>33</v>
      </c>
      <c r="J2604" t="s">
        <v>33</v>
      </c>
      <c r="L2604">
        <f t="shared" si="80"/>
        <v>2022</v>
      </c>
      <c r="M2604" t="str">
        <f t="shared" si="81"/>
        <v>COVID Period</v>
      </c>
    </row>
    <row r="2605" spans="1:13" x14ac:dyDescent="0.25">
      <c r="A2605" s="2">
        <v>44872</v>
      </c>
      <c r="B2605" t="s">
        <v>36</v>
      </c>
      <c r="C2605">
        <v>13</v>
      </c>
      <c r="D2605" s="3">
        <v>6.02</v>
      </c>
      <c r="E2605" s="3">
        <v>78.260000000000005</v>
      </c>
      <c r="F2605">
        <v>15</v>
      </c>
      <c r="G2605">
        <v>4</v>
      </c>
      <c r="H2605" s="4">
        <v>2.2000000000000002</v>
      </c>
      <c r="I2605" t="s">
        <v>33</v>
      </c>
      <c r="J2605" t="s">
        <v>33</v>
      </c>
      <c r="L2605">
        <f t="shared" si="80"/>
        <v>2022</v>
      </c>
      <c r="M2605" t="str">
        <f t="shared" si="81"/>
        <v>COVID Period</v>
      </c>
    </row>
    <row r="2606" spans="1:13" x14ac:dyDescent="0.25">
      <c r="A2606" s="2">
        <v>44872</v>
      </c>
      <c r="B2606" t="s">
        <v>37</v>
      </c>
      <c r="C2606">
        <v>37</v>
      </c>
      <c r="D2606" s="3">
        <v>3.34</v>
      </c>
      <c r="E2606" s="3">
        <v>123.58</v>
      </c>
      <c r="F2606">
        <v>43</v>
      </c>
      <c r="G2606">
        <v>14</v>
      </c>
      <c r="H2606" s="4">
        <v>1.2</v>
      </c>
      <c r="I2606" t="s">
        <v>33</v>
      </c>
      <c r="J2606" t="s">
        <v>33</v>
      </c>
      <c r="L2606">
        <f t="shared" si="80"/>
        <v>2022</v>
      </c>
      <c r="M2606" t="str">
        <f t="shared" si="81"/>
        <v>COVID Period</v>
      </c>
    </row>
    <row r="2607" spans="1:13" x14ac:dyDescent="0.25">
      <c r="A2607" s="2">
        <v>44872</v>
      </c>
      <c r="B2607" t="s">
        <v>38</v>
      </c>
      <c r="C2607">
        <v>16</v>
      </c>
      <c r="D2607" s="3">
        <v>8.3699999999999992</v>
      </c>
      <c r="E2607" s="3">
        <v>133.91999999999999</v>
      </c>
      <c r="F2607">
        <v>23</v>
      </c>
      <c r="G2607">
        <v>9</v>
      </c>
      <c r="H2607" s="4">
        <v>1.9</v>
      </c>
      <c r="I2607" t="s">
        <v>33</v>
      </c>
      <c r="J2607" t="s">
        <v>33</v>
      </c>
      <c r="L2607">
        <f t="shared" si="80"/>
        <v>2022</v>
      </c>
      <c r="M2607" t="str">
        <f t="shared" si="81"/>
        <v>COVID Period</v>
      </c>
    </row>
    <row r="2608" spans="1:13" x14ac:dyDescent="0.25">
      <c r="A2608" s="2">
        <v>44872</v>
      </c>
      <c r="B2608" t="s">
        <v>39</v>
      </c>
      <c r="C2608">
        <v>36</v>
      </c>
      <c r="D2608" s="3">
        <v>11.24</v>
      </c>
      <c r="E2608" s="3">
        <v>404.64</v>
      </c>
      <c r="F2608">
        <v>43</v>
      </c>
      <c r="G2608">
        <v>10</v>
      </c>
      <c r="H2608" s="4">
        <v>1</v>
      </c>
      <c r="I2608" t="s">
        <v>33</v>
      </c>
      <c r="J2608" t="s">
        <v>33</v>
      </c>
      <c r="L2608">
        <f t="shared" si="80"/>
        <v>2022</v>
      </c>
      <c r="M2608" t="str">
        <f t="shared" si="81"/>
        <v>COVID Period</v>
      </c>
    </row>
    <row r="2609" spans="1:13" x14ac:dyDescent="0.25">
      <c r="A2609" s="2">
        <v>44872</v>
      </c>
      <c r="B2609" t="s">
        <v>40</v>
      </c>
      <c r="C2609">
        <v>25</v>
      </c>
      <c r="D2609" s="3">
        <v>0.66</v>
      </c>
      <c r="E2609" s="3">
        <v>16.5</v>
      </c>
      <c r="F2609">
        <v>29</v>
      </c>
      <c r="G2609">
        <v>5</v>
      </c>
      <c r="H2609" s="4">
        <v>3.3</v>
      </c>
      <c r="I2609" t="s">
        <v>33</v>
      </c>
      <c r="J2609" t="s">
        <v>33</v>
      </c>
      <c r="L2609">
        <f t="shared" si="80"/>
        <v>2022</v>
      </c>
      <c r="M2609" t="str">
        <f t="shared" si="81"/>
        <v>COVID Period</v>
      </c>
    </row>
    <row r="2610" spans="1:13" x14ac:dyDescent="0.25">
      <c r="A2610" s="2">
        <v>44872</v>
      </c>
      <c r="B2610" t="s">
        <v>41</v>
      </c>
      <c r="C2610">
        <v>15</v>
      </c>
      <c r="D2610" s="3">
        <v>1.39</v>
      </c>
      <c r="E2610" s="3">
        <v>20.85</v>
      </c>
      <c r="F2610">
        <v>21</v>
      </c>
      <c r="G2610">
        <v>8</v>
      </c>
      <c r="H2610" s="4">
        <v>2.2999999999999998</v>
      </c>
      <c r="I2610" t="s">
        <v>33</v>
      </c>
      <c r="J2610" t="s">
        <v>33</v>
      </c>
      <c r="L2610">
        <f t="shared" si="80"/>
        <v>2022</v>
      </c>
      <c r="M2610" t="str">
        <f t="shared" si="81"/>
        <v>COVID Period</v>
      </c>
    </row>
    <row r="2611" spans="1:13" x14ac:dyDescent="0.25">
      <c r="A2611" s="2">
        <v>44872</v>
      </c>
      <c r="B2611" t="s">
        <v>42</v>
      </c>
      <c r="C2611">
        <v>19</v>
      </c>
      <c r="D2611" s="3">
        <v>4.3099999999999996</v>
      </c>
      <c r="E2611" s="3">
        <v>81.89</v>
      </c>
      <c r="F2611">
        <v>26</v>
      </c>
      <c r="G2611">
        <v>9</v>
      </c>
      <c r="H2611" s="4">
        <v>3.4</v>
      </c>
      <c r="I2611" t="s">
        <v>33</v>
      </c>
      <c r="J2611" t="s">
        <v>33</v>
      </c>
      <c r="L2611">
        <f t="shared" si="80"/>
        <v>2022</v>
      </c>
      <c r="M2611" t="str">
        <f t="shared" si="81"/>
        <v>COVID Period</v>
      </c>
    </row>
    <row r="2612" spans="1:13" x14ac:dyDescent="0.25">
      <c r="A2612" s="2">
        <v>44872</v>
      </c>
      <c r="B2612" t="s">
        <v>43</v>
      </c>
      <c r="C2612">
        <v>9</v>
      </c>
      <c r="D2612" s="3">
        <v>5.31</v>
      </c>
      <c r="E2612" s="3">
        <v>47.79</v>
      </c>
      <c r="F2612">
        <v>9</v>
      </c>
      <c r="G2612">
        <v>1</v>
      </c>
      <c r="H2612" s="4">
        <v>2.9</v>
      </c>
      <c r="I2612" t="s">
        <v>33</v>
      </c>
      <c r="J2612" t="s">
        <v>46</v>
      </c>
      <c r="L2612">
        <f t="shared" si="80"/>
        <v>2022</v>
      </c>
      <c r="M2612" t="str">
        <f t="shared" si="81"/>
        <v>COVID Period</v>
      </c>
    </row>
    <row r="2613" spans="1:13" x14ac:dyDescent="0.25">
      <c r="A2613" s="2">
        <v>44872</v>
      </c>
      <c r="B2613" t="s">
        <v>44</v>
      </c>
      <c r="C2613">
        <v>0</v>
      </c>
      <c r="D2613" s="3">
        <v>4.6500000000000004</v>
      </c>
      <c r="E2613" s="3">
        <v>0</v>
      </c>
      <c r="F2613">
        <v>3</v>
      </c>
      <c r="G2613">
        <v>3</v>
      </c>
      <c r="H2613" s="4">
        <v>1.6</v>
      </c>
      <c r="I2613" t="s">
        <v>33</v>
      </c>
      <c r="J2613" t="s">
        <v>33</v>
      </c>
      <c r="L2613">
        <f t="shared" si="80"/>
        <v>2022</v>
      </c>
      <c r="M2613" t="str">
        <f t="shared" si="81"/>
        <v>COVID Period</v>
      </c>
    </row>
    <row r="2614" spans="1:13" x14ac:dyDescent="0.25">
      <c r="A2614" s="2">
        <v>44872</v>
      </c>
      <c r="B2614" t="s">
        <v>45</v>
      </c>
      <c r="C2614">
        <v>1</v>
      </c>
      <c r="D2614" s="3">
        <v>15.18</v>
      </c>
      <c r="E2614" s="3">
        <v>15.18</v>
      </c>
      <c r="F2614">
        <v>3</v>
      </c>
      <c r="G2614">
        <v>2</v>
      </c>
      <c r="H2614" s="4">
        <v>1.7</v>
      </c>
      <c r="I2614" t="s">
        <v>46</v>
      </c>
      <c r="J2614" t="s">
        <v>33</v>
      </c>
      <c r="L2614">
        <f t="shared" si="80"/>
        <v>2022</v>
      </c>
      <c r="M2614" t="str">
        <f t="shared" si="81"/>
        <v>COVID Period</v>
      </c>
    </row>
    <row r="2615" spans="1:13" x14ac:dyDescent="0.25">
      <c r="A2615" s="2">
        <v>44879</v>
      </c>
      <c r="B2615" t="s">
        <v>32</v>
      </c>
      <c r="C2615">
        <v>22</v>
      </c>
      <c r="D2615" s="3">
        <v>6.7</v>
      </c>
      <c r="E2615" s="3">
        <v>147.4</v>
      </c>
      <c r="F2615">
        <v>24</v>
      </c>
      <c r="G2615">
        <v>2</v>
      </c>
      <c r="H2615" s="4">
        <v>1.8</v>
      </c>
      <c r="I2615" t="s">
        <v>33</v>
      </c>
      <c r="J2615" t="s">
        <v>33</v>
      </c>
      <c r="L2615">
        <f t="shared" si="80"/>
        <v>2022</v>
      </c>
      <c r="M2615" t="str">
        <f t="shared" si="81"/>
        <v>COVID Period</v>
      </c>
    </row>
    <row r="2616" spans="1:13" x14ac:dyDescent="0.25">
      <c r="A2616" s="2">
        <v>44879</v>
      </c>
      <c r="B2616" t="s">
        <v>34</v>
      </c>
      <c r="C2616">
        <v>20</v>
      </c>
      <c r="D2616" s="3">
        <v>7.23</v>
      </c>
      <c r="E2616" s="3">
        <v>144.6</v>
      </c>
      <c r="F2616">
        <v>31</v>
      </c>
      <c r="G2616">
        <v>12</v>
      </c>
      <c r="H2616" s="4">
        <v>2</v>
      </c>
      <c r="I2616" t="s">
        <v>33</v>
      </c>
      <c r="J2616" t="s">
        <v>33</v>
      </c>
      <c r="L2616">
        <f t="shared" si="80"/>
        <v>2022</v>
      </c>
      <c r="M2616" t="str">
        <f t="shared" si="81"/>
        <v>COVID Period</v>
      </c>
    </row>
    <row r="2617" spans="1:13" x14ac:dyDescent="0.25">
      <c r="A2617" s="2">
        <v>44879</v>
      </c>
      <c r="B2617" t="s">
        <v>35</v>
      </c>
      <c r="C2617">
        <v>18</v>
      </c>
      <c r="D2617" s="3">
        <v>5.93</v>
      </c>
      <c r="E2617" s="3">
        <v>106.74</v>
      </c>
      <c r="F2617">
        <v>22</v>
      </c>
      <c r="G2617">
        <v>5</v>
      </c>
      <c r="H2617" s="4">
        <v>0.7</v>
      </c>
      <c r="I2617" t="s">
        <v>33</v>
      </c>
      <c r="J2617" t="s">
        <v>33</v>
      </c>
      <c r="L2617">
        <f t="shared" si="80"/>
        <v>2022</v>
      </c>
      <c r="M2617" t="str">
        <f t="shared" si="81"/>
        <v>COVID Period</v>
      </c>
    </row>
    <row r="2618" spans="1:13" x14ac:dyDescent="0.25">
      <c r="A2618" s="2">
        <v>44879</v>
      </c>
      <c r="B2618" t="s">
        <v>36</v>
      </c>
      <c r="C2618">
        <v>14</v>
      </c>
      <c r="D2618" s="3">
        <v>6.43</v>
      </c>
      <c r="E2618" s="3">
        <v>90.02</v>
      </c>
      <c r="F2618">
        <v>21</v>
      </c>
      <c r="G2618">
        <v>7</v>
      </c>
      <c r="H2618" s="4">
        <v>1.2</v>
      </c>
      <c r="I2618" t="s">
        <v>33</v>
      </c>
      <c r="J2618" t="s">
        <v>33</v>
      </c>
      <c r="L2618">
        <f t="shared" si="80"/>
        <v>2022</v>
      </c>
      <c r="M2618" t="str">
        <f t="shared" si="81"/>
        <v>COVID Period</v>
      </c>
    </row>
    <row r="2619" spans="1:13" x14ac:dyDescent="0.25">
      <c r="A2619" s="2">
        <v>44879</v>
      </c>
      <c r="B2619" t="s">
        <v>37</v>
      </c>
      <c r="C2619">
        <v>34</v>
      </c>
      <c r="D2619" s="3">
        <v>3.15</v>
      </c>
      <c r="E2619" s="3">
        <v>107.1</v>
      </c>
      <c r="F2619">
        <v>37</v>
      </c>
      <c r="G2619">
        <v>6</v>
      </c>
      <c r="H2619" s="4">
        <v>1.9</v>
      </c>
      <c r="I2619" t="s">
        <v>33</v>
      </c>
      <c r="J2619" t="s">
        <v>33</v>
      </c>
      <c r="L2619">
        <f t="shared" si="80"/>
        <v>2022</v>
      </c>
      <c r="M2619" t="str">
        <f t="shared" si="81"/>
        <v>COVID Period</v>
      </c>
    </row>
    <row r="2620" spans="1:13" x14ac:dyDescent="0.25">
      <c r="A2620" s="2">
        <v>44879</v>
      </c>
      <c r="B2620" t="s">
        <v>38</v>
      </c>
      <c r="C2620">
        <v>21</v>
      </c>
      <c r="D2620" s="3">
        <v>8.4</v>
      </c>
      <c r="E2620" s="3">
        <v>176.4</v>
      </c>
      <c r="F2620">
        <v>31</v>
      </c>
      <c r="G2620">
        <v>10</v>
      </c>
      <c r="H2620" s="4">
        <v>1.5</v>
      </c>
      <c r="I2620" t="s">
        <v>33</v>
      </c>
      <c r="J2620" t="s">
        <v>33</v>
      </c>
      <c r="L2620">
        <f t="shared" si="80"/>
        <v>2022</v>
      </c>
      <c r="M2620" t="str">
        <f t="shared" si="81"/>
        <v>COVID Period</v>
      </c>
    </row>
    <row r="2621" spans="1:13" x14ac:dyDescent="0.25">
      <c r="A2621" s="2">
        <v>44879</v>
      </c>
      <c r="B2621" t="s">
        <v>39</v>
      </c>
      <c r="C2621">
        <v>34</v>
      </c>
      <c r="D2621" s="3">
        <v>11.95</v>
      </c>
      <c r="E2621" s="3">
        <v>406.3</v>
      </c>
      <c r="F2621">
        <v>42</v>
      </c>
      <c r="G2621">
        <v>8</v>
      </c>
      <c r="H2621" s="4">
        <v>1.2</v>
      </c>
      <c r="I2621" t="s">
        <v>33</v>
      </c>
      <c r="J2621" t="s">
        <v>33</v>
      </c>
      <c r="L2621">
        <f t="shared" si="80"/>
        <v>2022</v>
      </c>
      <c r="M2621" t="str">
        <f t="shared" si="81"/>
        <v>COVID Period</v>
      </c>
    </row>
    <row r="2622" spans="1:13" x14ac:dyDescent="0.25">
      <c r="A2622" s="2">
        <v>44879</v>
      </c>
      <c r="B2622" t="s">
        <v>40</v>
      </c>
      <c r="C2622">
        <v>19</v>
      </c>
      <c r="D2622" s="3">
        <v>0.64</v>
      </c>
      <c r="E2622" s="3">
        <v>12.16</v>
      </c>
      <c r="F2622">
        <v>22</v>
      </c>
      <c r="G2622">
        <v>4</v>
      </c>
      <c r="H2622" s="4">
        <v>2.9</v>
      </c>
      <c r="I2622" t="s">
        <v>33</v>
      </c>
      <c r="J2622" t="s">
        <v>33</v>
      </c>
      <c r="L2622">
        <f t="shared" si="80"/>
        <v>2022</v>
      </c>
      <c r="M2622" t="str">
        <f t="shared" si="81"/>
        <v>COVID Period</v>
      </c>
    </row>
    <row r="2623" spans="1:13" x14ac:dyDescent="0.25">
      <c r="A2623" s="2">
        <v>44879</v>
      </c>
      <c r="B2623" t="s">
        <v>41</v>
      </c>
      <c r="C2623">
        <v>12</v>
      </c>
      <c r="D2623" s="3">
        <v>1.31</v>
      </c>
      <c r="E2623" s="3">
        <v>15.72</v>
      </c>
      <c r="F2623">
        <v>15</v>
      </c>
      <c r="G2623">
        <v>6</v>
      </c>
      <c r="H2623" s="4">
        <v>2.9</v>
      </c>
      <c r="I2623" t="s">
        <v>33</v>
      </c>
      <c r="J2623" t="s">
        <v>33</v>
      </c>
      <c r="L2623">
        <f t="shared" si="80"/>
        <v>2022</v>
      </c>
      <c r="M2623" t="str">
        <f t="shared" si="81"/>
        <v>COVID Period</v>
      </c>
    </row>
    <row r="2624" spans="1:13" x14ac:dyDescent="0.25">
      <c r="A2624" s="2">
        <v>44879</v>
      </c>
      <c r="B2624" t="s">
        <v>42</v>
      </c>
      <c r="C2624">
        <v>9</v>
      </c>
      <c r="D2624" s="3">
        <v>4.1500000000000004</v>
      </c>
      <c r="E2624" s="3">
        <v>37.35</v>
      </c>
      <c r="F2624">
        <v>9</v>
      </c>
      <c r="G2624">
        <v>0</v>
      </c>
      <c r="H2624" s="4">
        <v>2.5</v>
      </c>
      <c r="I2624" t="s">
        <v>33</v>
      </c>
      <c r="J2624" t="s">
        <v>33</v>
      </c>
      <c r="L2624">
        <f t="shared" si="80"/>
        <v>2022</v>
      </c>
      <c r="M2624" t="str">
        <f t="shared" si="81"/>
        <v>COVID Period</v>
      </c>
    </row>
    <row r="2625" spans="1:13" x14ac:dyDescent="0.25">
      <c r="A2625" s="2">
        <v>44879</v>
      </c>
      <c r="B2625" t="s">
        <v>43</v>
      </c>
      <c r="C2625">
        <v>7</v>
      </c>
      <c r="D2625" s="3">
        <v>5.3</v>
      </c>
      <c r="E2625" s="3">
        <v>37.1</v>
      </c>
      <c r="F2625">
        <v>10</v>
      </c>
      <c r="G2625">
        <v>3</v>
      </c>
      <c r="H2625" s="4">
        <v>2</v>
      </c>
      <c r="I2625" t="s">
        <v>33</v>
      </c>
      <c r="J2625" t="s">
        <v>33</v>
      </c>
      <c r="L2625">
        <f t="shared" si="80"/>
        <v>2022</v>
      </c>
      <c r="M2625" t="str">
        <f t="shared" si="81"/>
        <v>COVID Period</v>
      </c>
    </row>
    <row r="2626" spans="1:13" x14ac:dyDescent="0.25">
      <c r="A2626" s="2">
        <v>44879</v>
      </c>
      <c r="B2626" t="s">
        <v>44</v>
      </c>
      <c r="C2626">
        <v>1</v>
      </c>
      <c r="D2626" s="3">
        <v>4.66</v>
      </c>
      <c r="E2626" s="3">
        <v>4.66</v>
      </c>
      <c r="F2626">
        <v>3</v>
      </c>
      <c r="G2626">
        <v>2</v>
      </c>
      <c r="H2626" s="4">
        <v>2.4</v>
      </c>
      <c r="I2626" t="s">
        <v>46</v>
      </c>
      <c r="J2626" t="s">
        <v>46</v>
      </c>
      <c r="K2626" t="s">
        <v>47</v>
      </c>
      <c r="L2626">
        <f t="shared" ref="L2626:L2689" si="82">YEAR(A2626)</f>
        <v>2022</v>
      </c>
      <c r="M2626" t="str">
        <f t="shared" ref="M2626:M2689" si="83">IF(L2626=2019,"Pre-COVID","COVID Period")</f>
        <v>COVID Period</v>
      </c>
    </row>
    <row r="2627" spans="1:13" x14ac:dyDescent="0.25">
      <c r="A2627" s="2">
        <v>44879</v>
      </c>
      <c r="B2627" t="s">
        <v>45</v>
      </c>
      <c r="C2627">
        <v>0</v>
      </c>
      <c r="D2627" s="3">
        <v>14.83</v>
      </c>
      <c r="E2627" s="3">
        <v>0</v>
      </c>
      <c r="F2627">
        <v>3</v>
      </c>
      <c r="G2627">
        <v>3</v>
      </c>
      <c r="H2627" s="4">
        <v>0.8</v>
      </c>
      <c r="I2627" t="s">
        <v>33</v>
      </c>
      <c r="J2627" t="s">
        <v>33</v>
      </c>
      <c r="L2627">
        <f t="shared" si="82"/>
        <v>2022</v>
      </c>
      <c r="M2627" t="str">
        <f t="shared" si="83"/>
        <v>COVID Period</v>
      </c>
    </row>
    <row r="2628" spans="1:13" x14ac:dyDescent="0.25">
      <c r="A2628" s="2">
        <v>44886</v>
      </c>
      <c r="B2628" t="s">
        <v>32</v>
      </c>
      <c r="C2628">
        <v>25</v>
      </c>
      <c r="D2628" s="3">
        <v>6.53</v>
      </c>
      <c r="E2628" s="3">
        <v>163.25</v>
      </c>
      <c r="F2628">
        <v>30</v>
      </c>
      <c r="G2628">
        <v>9</v>
      </c>
      <c r="H2628" s="4">
        <v>1.8</v>
      </c>
      <c r="I2628" t="s">
        <v>33</v>
      </c>
      <c r="J2628" t="s">
        <v>33</v>
      </c>
      <c r="L2628">
        <f t="shared" si="82"/>
        <v>2022</v>
      </c>
      <c r="M2628" t="str">
        <f t="shared" si="83"/>
        <v>COVID Period</v>
      </c>
    </row>
    <row r="2629" spans="1:13" x14ac:dyDescent="0.25">
      <c r="A2629" s="2">
        <v>44886</v>
      </c>
      <c r="B2629" t="s">
        <v>34</v>
      </c>
      <c r="C2629">
        <v>19</v>
      </c>
      <c r="D2629" s="3">
        <v>6.85</v>
      </c>
      <c r="E2629" s="3">
        <v>130.15</v>
      </c>
      <c r="F2629">
        <v>29</v>
      </c>
      <c r="G2629">
        <v>11</v>
      </c>
      <c r="H2629" s="4">
        <v>2</v>
      </c>
      <c r="I2629" t="s">
        <v>33</v>
      </c>
      <c r="J2629" t="s">
        <v>33</v>
      </c>
      <c r="L2629">
        <f t="shared" si="82"/>
        <v>2022</v>
      </c>
      <c r="M2629" t="str">
        <f t="shared" si="83"/>
        <v>COVID Period</v>
      </c>
    </row>
    <row r="2630" spans="1:13" x14ac:dyDescent="0.25">
      <c r="A2630" s="2">
        <v>44886</v>
      </c>
      <c r="B2630" t="s">
        <v>35</v>
      </c>
      <c r="C2630">
        <v>12</v>
      </c>
      <c r="D2630" s="3">
        <v>5.76</v>
      </c>
      <c r="E2630" s="3">
        <v>69.12</v>
      </c>
      <c r="F2630">
        <v>17</v>
      </c>
      <c r="G2630">
        <v>8</v>
      </c>
      <c r="H2630" s="4">
        <v>1.8</v>
      </c>
      <c r="I2630" t="s">
        <v>33</v>
      </c>
      <c r="J2630" t="s">
        <v>33</v>
      </c>
      <c r="L2630">
        <f t="shared" si="82"/>
        <v>2022</v>
      </c>
      <c r="M2630" t="str">
        <f t="shared" si="83"/>
        <v>COVID Period</v>
      </c>
    </row>
    <row r="2631" spans="1:13" x14ac:dyDescent="0.25">
      <c r="A2631" s="2">
        <v>44886</v>
      </c>
      <c r="B2631" t="s">
        <v>36</v>
      </c>
      <c r="C2631">
        <v>14</v>
      </c>
      <c r="D2631" s="3">
        <v>6.28</v>
      </c>
      <c r="E2631" s="3">
        <v>87.92</v>
      </c>
      <c r="F2631">
        <v>17</v>
      </c>
      <c r="G2631">
        <v>3</v>
      </c>
      <c r="H2631" s="4">
        <v>2.2000000000000002</v>
      </c>
      <c r="I2631" t="s">
        <v>33</v>
      </c>
      <c r="J2631" t="s">
        <v>33</v>
      </c>
      <c r="L2631">
        <f t="shared" si="82"/>
        <v>2022</v>
      </c>
      <c r="M2631" t="str">
        <f t="shared" si="83"/>
        <v>COVID Period</v>
      </c>
    </row>
    <row r="2632" spans="1:13" x14ac:dyDescent="0.25">
      <c r="A2632" s="2">
        <v>44886</v>
      </c>
      <c r="B2632" t="s">
        <v>37</v>
      </c>
      <c r="C2632">
        <v>29</v>
      </c>
      <c r="D2632" s="3">
        <v>3.35</v>
      </c>
      <c r="E2632" s="3">
        <v>97.15</v>
      </c>
      <c r="F2632">
        <v>34</v>
      </c>
      <c r="G2632">
        <v>8</v>
      </c>
      <c r="H2632" s="4">
        <v>0.8</v>
      </c>
      <c r="I2632" t="s">
        <v>33</v>
      </c>
      <c r="J2632" t="s">
        <v>33</v>
      </c>
      <c r="L2632">
        <f t="shared" si="82"/>
        <v>2022</v>
      </c>
      <c r="M2632" t="str">
        <f t="shared" si="83"/>
        <v>COVID Period</v>
      </c>
    </row>
    <row r="2633" spans="1:13" x14ac:dyDescent="0.25">
      <c r="A2633" s="2">
        <v>44886</v>
      </c>
      <c r="B2633" t="s">
        <v>38</v>
      </c>
      <c r="C2633">
        <v>16</v>
      </c>
      <c r="D2633" s="3">
        <v>8.34</v>
      </c>
      <c r="E2633" s="3">
        <v>133.44</v>
      </c>
      <c r="F2633">
        <v>18</v>
      </c>
      <c r="G2633">
        <v>5</v>
      </c>
      <c r="H2633" s="4">
        <v>0.2</v>
      </c>
      <c r="I2633" t="s">
        <v>33</v>
      </c>
      <c r="J2633" t="s">
        <v>33</v>
      </c>
      <c r="L2633">
        <f t="shared" si="82"/>
        <v>2022</v>
      </c>
      <c r="M2633" t="str">
        <f t="shared" si="83"/>
        <v>COVID Period</v>
      </c>
    </row>
    <row r="2634" spans="1:13" x14ac:dyDescent="0.25">
      <c r="A2634" s="2">
        <v>44886</v>
      </c>
      <c r="B2634" t="s">
        <v>39</v>
      </c>
      <c r="C2634">
        <v>28</v>
      </c>
      <c r="D2634" s="3">
        <v>11.23</v>
      </c>
      <c r="E2634" s="3">
        <v>314.44</v>
      </c>
      <c r="F2634">
        <v>42</v>
      </c>
      <c r="G2634">
        <v>17</v>
      </c>
      <c r="H2634" s="4">
        <v>0.3</v>
      </c>
      <c r="I2634" t="s">
        <v>33</v>
      </c>
      <c r="J2634" t="s">
        <v>33</v>
      </c>
      <c r="L2634">
        <f t="shared" si="82"/>
        <v>2022</v>
      </c>
      <c r="M2634" t="str">
        <f t="shared" si="83"/>
        <v>COVID Period</v>
      </c>
    </row>
    <row r="2635" spans="1:13" x14ac:dyDescent="0.25">
      <c r="A2635" s="2">
        <v>44886</v>
      </c>
      <c r="B2635" t="s">
        <v>40</v>
      </c>
      <c r="C2635">
        <v>16</v>
      </c>
      <c r="D2635" s="3">
        <v>0.65</v>
      </c>
      <c r="E2635" s="3">
        <v>10.4</v>
      </c>
      <c r="F2635">
        <v>26</v>
      </c>
      <c r="G2635">
        <v>11</v>
      </c>
      <c r="H2635" s="4">
        <v>3.6</v>
      </c>
      <c r="I2635" t="s">
        <v>33</v>
      </c>
      <c r="J2635" t="s">
        <v>33</v>
      </c>
      <c r="L2635">
        <f t="shared" si="82"/>
        <v>2022</v>
      </c>
      <c r="M2635" t="str">
        <f t="shared" si="83"/>
        <v>COVID Period</v>
      </c>
    </row>
    <row r="2636" spans="1:13" x14ac:dyDescent="0.25">
      <c r="A2636" s="2">
        <v>44886</v>
      </c>
      <c r="B2636" t="s">
        <v>41</v>
      </c>
      <c r="C2636">
        <v>8</v>
      </c>
      <c r="D2636" s="3">
        <v>1.37</v>
      </c>
      <c r="E2636" s="3">
        <v>10.96</v>
      </c>
      <c r="F2636">
        <v>12</v>
      </c>
      <c r="G2636">
        <v>4</v>
      </c>
      <c r="H2636" s="4">
        <v>2.9</v>
      </c>
      <c r="I2636" t="s">
        <v>33</v>
      </c>
      <c r="J2636" t="s">
        <v>33</v>
      </c>
      <c r="L2636">
        <f t="shared" si="82"/>
        <v>2022</v>
      </c>
      <c r="M2636" t="str">
        <f t="shared" si="83"/>
        <v>COVID Period</v>
      </c>
    </row>
    <row r="2637" spans="1:13" x14ac:dyDescent="0.25">
      <c r="A2637" s="2">
        <v>44886</v>
      </c>
      <c r="B2637" t="s">
        <v>42</v>
      </c>
      <c r="C2637">
        <v>14</v>
      </c>
      <c r="D2637" s="3">
        <v>4.3</v>
      </c>
      <c r="E2637" s="3">
        <v>60.2</v>
      </c>
      <c r="F2637">
        <v>21</v>
      </c>
      <c r="G2637">
        <v>10</v>
      </c>
      <c r="H2637" s="4">
        <v>3</v>
      </c>
      <c r="I2637" t="s">
        <v>33</v>
      </c>
      <c r="J2637" t="s">
        <v>33</v>
      </c>
      <c r="L2637">
        <f t="shared" si="82"/>
        <v>2022</v>
      </c>
      <c r="M2637" t="str">
        <f t="shared" si="83"/>
        <v>COVID Period</v>
      </c>
    </row>
    <row r="2638" spans="1:13" x14ac:dyDescent="0.25">
      <c r="A2638" s="2">
        <v>44886</v>
      </c>
      <c r="B2638" t="s">
        <v>43</v>
      </c>
      <c r="C2638">
        <v>12</v>
      </c>
      <c r="D2638" s="3">
        <v>5.42</v>
      </c>
      <c r="E2638" s="3">
        <v>65.040000000000006</v>
      </c>
      <c r="F2638">
        <v>20</v>
      </c>
      <c r="G2638">
        <v>9</v>
      </c>
      <c r="H2638" s="4">
        <v>0</v>
      </c>
      <c r="I2638" t="s">
        <v>33</v>
      </c>
      <c r="J2638" t="s">
        <v>33</v>
      </c>
      <c r="L2638">
        <f t="shared" si="82"/>
        <v>2022</v>
      </c>
      <c r="M2638" t="str">
        <f t="shared" si="83"/>
        <v>COVID Period</v>
      </c>
    </row>
    <row r="2639" spans="1:13" x14ac:dyDescent="0.25">
      <c r="A2639" s="2">
        <v>44886</v>
      </c>
      <c r="B2639" t="s">
        <v>44</v>
      </c>
      <c r="C2639">
        <v>0</v>
      </c>
      <c r="D2639" s="3">
        <v>4.66</v>
      </c>
      <c r="E2639" s="3">
        <v>0</v>
      </c>
      <c r="F2639">
        <v>3</v>
      </c>
      <c r="G2639">
        <v>3</v>
      </c>
      <c r="H2639" s="4">
        <v>1.3</v>
      </c>
      <c r="I2639" t="s">
        <v>33</v>
      </c>
      <c r="J2639" t="s">
        <v>33</v>
      </c>
      <c r="L2639">
        <f t="shared" si="82"/>
        <v>2022</v>
      </c>
      <c r="M2639" t="str">
        <f t="shared" si="83"/>
        <v>COVID Period</v>
      </c>
    </row>
    <row r="2640" spans="1:13" x14ac:dyDescent="0.25">
      <c r="A2640" s="2">
        <v>44886</v>
      </c>
      <c r="B2640" t="s">
        <v>45</v>
      </c>
      <c r="C2640">
        <v>0</v>
      </c>
      <c r="D2640" s="3">
        <v>14.64</v>
      </c>
      <c r="E2640" s="3">
        <v>0</v>
      </c>
      <c r="F2640">
        <v>3</v>
      </c>
      <c r="G2640">
        <v>3</v>
      </c>
      <c r="H2640" s="4">
        <v>2.2000000000000002</v>
      </c>
      <c r="I2640" t="s">
        <v>33</v>
      </c>
      <c r="J2640" t="s">
        <v>33</v>
      </c>
      <c r="L2640">
        <f t="shared" si="82"/>
        <v>2022</v>
      </c>
      <c r="M2640" t="str">
        <f t="shared" si="83"/>
        <v>COVID Period</v>
      </c>
    </row>
    <row r="2641" spans="1:13" x14ac:dyDescent="0.25">
      <c r="A2641" s="2">
        <v>44893</v>
      </c>
      <c r="B2641" t="s">
        <v>32</v>
      </c>
      <c r="C2641">
        <v>29</v>
      </c>
      <c r="D2641" s="3">
        <v>6.79</v>
      </c>
      <c r="E2641" s="3">
        <v>196.91</v>
      </c>
      <c r="F2641">
        <v>44</v>
      </c>
      <c r="G2641">
        <v>15</v>
      </c>
      <c r="H2641" s="4">
        <v>0.5</v>
      </c>
      <c r="I2641" t="s">
        <v>33</v>
      </c>
      <c r="J2641" t="s">
        <v>33</v>
      </c>
      <c r="L2641">
        <f t="shared" si="82"/>
        <v>2022</v>
      </c>
      <c r="M2641" t="str">
        <f t="shared" si="83"/>
        <v>COVID Period</v>
      </c>
    </row>
    <row r="2642" spans="1:13" x14ac:dyDescent="0.25">
      <c r="A2642" s="2">
        <v>44893</v>
      </c>
      <c r="B2642" t="s">
        <v>34</v>
      </c>
      <c r="C2642">
        <v>15</v>
      </c>
      <c r="D2642" s="3">
        <v>7.4</v>
      </c>
      <c r="E2642" s="3">
        <v>111</v>
      </c>
      <c r="F2642">
        <v>16</v>
      </c>
      <c r="G2642">
        <v>1</v>
      </c>
      <c r="H2642" s="4">
        <v>0.7</v>
      </c>
      <c r="I2642" t="s">
        <v>33</v>
      </c>
      <c r="J2642" t="s">
        <v>33</v>
      </c>
      <c r="L2642">
        <f t="shared" si="82"/>
        <v>2022</v>
      </c>
      <c r="M2642" t="str">
        <f t="shared" si="83"/>
        <v>COVID Period</v>
      </c>
    </row>
    <row r="2643" spans="1:13" x14ac:dyDescent="0.25">
      <c r="A2643" s="2">
        <v>44893</v>
      </c>
      <c r="B2643" t="s">
        <v>35</v>
      </c>
      <c r="C2643">
        <v>14</v>
      </c>
      <c r="D2643" s="3">
        <v>5.92</v>
      </c>
      <c r="E2643" s="3">
        <v>82.88</v>
      </c>
      <c r="F2643">
        <v>22</v>
      </c>
      <c r="G2643">
        <v>9</v>
      </c>
      <c r="H2643" s="4">
        <v>2.6</v>
      </c>
      <c r="I2643" t="s">
        <v>33</v>
      </c>
      <c r="J2643" t="s">
        <v>33</v>
      </c>
      <c r="L2643">
        <f t="shared" si="82"/>
        <v>2022</v>
      </c>
      <c r="M2643" t="str">
        <f t="shared" si="83"/>
        <v>COVID Period</v>
      </c>
    </row>
    <row r="2644" spans="1:13" x14ac:dyDescent="0.25">
      <c r="A2644" s="2">
        <v>44893</v>
      </c>
      <c r="B2644" t="s">
        <v>36</v>
      </c>
      <c r="C2644">
        <v>13</v>
      </c>
      <c r="D2644" s="3">
        <v>6.36</v>
      </c>
      <c r="E2644" s="3">
        <v>82.68</v>
      </c>
      <c r="F2644">
        <v>20</v>
      </c>
      <c r="G2644">
        <v>7</v>
      </c>
      <c r="H2644" s="4">
        <v>1.3</v>
      </c>
      <c r="I2644" t="s">
        <v>33</v>
      </c>
      <c r="J2644" t="s">
        <v>33</v>
      </c>
      <c r="L2644">
        <f t="shared" si="82"/>
        <v>2022</v>
      </c>
      <c r="M2644" t="str">
        <f t="shared" si="83"/>
        <v>COVID Period</v>
      </c>
    </row>
    <row r="2645" spans="1:13" x14ac:dyDescent="0.25">
      <c r="A2645" s="2">
        <v>44893</v>
      </c>
      <c r="B2645" t="s">
        <v>37</v>
      </c>
      <c r="C2645">
        <v>33</v>
      </c>
      <c r="D2645" s="3">
        <v>3.35</v>
      </c>
      <c r="E2645" s="3">
        <v>110.55</v>
      </c>
      <c r="F2645">
        <v>42</v>
      </c>
      <c r="G2645">
        <v>13</v>
      </c>
      <c r="H2645" s="4">
        <v>1.9</v>
      </c>
      <c r="I2645" t="s">
        <v>33</v>
      </c>
      <c r="J2645" t="s">
        <v>33</v>
      </c>
      <c r="L2645">
        <f t="shared" si="82"/>
        <v>2022</v>
      </c>
      <c r="M2645" t="str">
        <f t="shared" si="83"/>
        <v>COVID Period</v>
      </c>
    </row>
    <row r="2646" spans="1:13" x14ac:dyDescent="0.25">
      <c r="A2646" s="2">
        <v>44893</v>
      </c>
      <c r="B2646" t="s">
        <v>38</v>
      </c>
      <c r="C2646">
        <v>18</v>
      </c>
      <c r="D2646" s="3">
        <v>8.2899999999999991</v>
      </c>
      <c r="E2646" s="3">
        <v>149.22</v>
      </c>
      <c r="F2646">
        <v>29</v>
      </c>
      <c r="G2646">
        <v>15</v>
      </c>
      <c r="H2646" s="4">
        <v>2.5</v>
      </c>
      <c r="I2646" t="s">
        <v>33</v>
      </c>
      <c r="J2646" t="s">
        <v>33</v>
      </c>
      <c r="L2646">
        <f t="shared" si="82"/>
        <v>2022</v>
      </c>
      <c r="M2646" t="str">
        <f t="shared" si="83"/>
        <v>COVID Period</v>
      </c>
    </row>
    <row r="2647" spans="1:13" x14ac:dyDescent="0.25">
      <c r="A2647" s="2">
        <v>44893</v>
      </c>
      <c r="B2647" t="s">
        <v>39</v>
      </c>
      <c r="C2647">
        <v>29</v>
      </c>
      <c r="D2647" s="3">
        <v>11.67</v>
      </c>
      <c r="E2647" s="3">
        <v>338.43</v>
      </c>
      <c r="F2647">
        <v>47</v>
      </c>
      <c r="G2647">
        <v>20</v>
      </c>
      <c r="H2647" s="4">
        <v>2.6</v>
      </c>
      <c r="I2647" t="s">
        <v>33</v>
      </c>
      <c r="J2647" t="s">
        <v>33</v>
      </c>
      <c r="L2647">
        <f t="shared" si="82"/>
        <v>2022</v>
      </c>
      <c r="M2647" t="str">
        <f t="shared" si="83"/>
        <v>COVID Period</v>
      </c>
    </row>
    <row r="2648" spans="1:13" x14ac:dyDescent="0.25">
      <c r="A2648" s="2">
        <v>44893</v>
      </c>
      <c r="B2648" t="s">
        <v>40</v>
      </c>
      <c r="C2648">
        <v>14</v>
      </c>
      <c r="D2648" s="3">
        <v>0.68</v>
      </c>
      <c r="E2648" s="3">
        <v>9.52</v>
      </c>
      <c r="F2648">
        <v>22</v>
      </c>
      <c r="G2648">
        <v>10</v>
      </c>
      <c r="H2648" s="4">
        <v>2.6</v>
      </c>
      <c r="I2648" t="s">
        <v>33</v>
      </c>
      <c r="J2648" t="s">
        <v>33</v>
      </c>
      <c r="L2648">
        <f t="shared" si="82"/>
        <v>2022</v>
      </c>
      <c r="M2648" t="str">
        <f t="shared" si="83"/>
        <v>COVID Period</v>
      </c>
    </row>
    <row r="2649" spans="1:13" x14ac:dyDescent="0.25">
      <c r="A2649" s="2">
        <v>44893</v>
      </c>
      <c r="B2649" t="s">
        <v>41</v>
      </c>
      <c r="C2649">
        <v>10</v>
      </c>
      <c r="D2649" s="3">
        <v>1.41</v>
      </c>
      <c r="E2649" s="3">
        <v>14.1</v>
      </c>
      <c r="F2649">
        <v>16</v>
      </c>
      <c r="G2649">
        <v>9</v>
      </c>
      <c r="H2649" s="4">
        <v>3.1</v>
      </c>
      <c r="I2649" t="s">
        <v>33</v>
      </c>
      <c r="J2649" t="s">
        <v>33</v>
      </c>
      <c r="L2649">
        <f t="shared" si="82"/>
        <v>2022</v>
      </c>
      <c r="M2649" t="str">
        <f t="shared" si="83"/>
        <v>COVID Period</v>
      </c>
    </row>
    <row r="2650" spans="1:13" x14ac:dyDescent="0.25">
      <c r="A2650" s="2">
        <v>44893</v>
      </c>
      <c r="B2650" t="s">
        <v>42</v>
      </c>
      <c r="C2650">
        <v>14</v>
      </c>
      <c r="D2650" s="3">
        <v>4.0599999999999996</v>
      </c>
      <c r="E2650" s="3">
        <v>56.84</v>
      </c>
      <c r="F2650">
        <v>15</v>
      </c>
      <c r="G2650">
        <v>1</v>
      </c>
      <c r="H2650" s="4">
        <v>3.3</v>
      </c>
      <c r="I2650" t="s">
        <v>33</v>
      </c>
      <c r="J2650" t="s">
        <v>33</v>
      </c>
      <c r="L2650">
        <f t="shared" si="82"/>
        <v>2022</v>
      </c>
      <c r="M2650" t="str">
        <f t="shared" si="83"/>
        <v>COVID Period</v>
      </c>
    </row>
    <row r="2651" spans="1:13" x14ac:dyDescent="0.25">
      <c r="A2651" s="2">
        <v>44893</v>
      </c>
      <c r="B2651" t="s">
        <v>43</v>
      </c>
      <c r="C2651">
        <v>9</v>
      </c>
      <c r="D2651" s="3">
        <v>5.34</v>
      </c>
      <c r="E2651" s="3">
        <v>48.06</v>
      </c>
      <c r="F2651">
        <v>10</v>
      </c>
      <c r="G2651">
        <v>2</v>
      </c>
      <c r="H2651" s="4">
        <v>4.5</v>
      </c>
      <c r="I2651" t="s">
        <v>33</v>
      </c>
      <c r="J2651" t="s">
        <v>46</v>
      </c>
      <c r="L2651">
        <f t="shared" si="82"/>
        <v>2022</v>
      </c>
      <c r="M2651" t="str">
        <f t="shared" si="83"/>
        <v>COVID Period</v>
      </c>
    </row>
    <row r="2652" spans="1:13" x14ac:dyDescent="0.25">
      <c r="A2652" s="2">
        <v>44893</v>
      </c>
      <c r="B2652" t="s">
        <v>44</v>
      </c>
      <c r="C2652">
        <v>1</v>
      </c>
      <c r="D2652" s="3">
        <v>4.79</v>
      </c>
      <c r="E2652" s="3">
        <v>4.79</v>
      </c>
      <c r="F2652">
        <v>3</v>
      </c>
      <c r="G2652">
        <v>2</v>
      </c>
      <c r="H2652" s="4">
        <v>2.4</v>
      </c>
      <c r="I2652" t="s">
        <v>46</v>
      </c>
      <c r="J2652" t="s">
        <v>46</v>
      </c>
      <c r="K2652" t="s">
        <v>47</v>
      </c>
      <c r="L2652">
        <f t="shared" si="82"/>
        <v>2022</v>
      </c>
      <c r="M2652" t="str">
        <f t="shared" si="83"/>
        <v>COVID Period</v>
      </c>
    </row>
    <row r="2653" spans="1:13" x14ac:dyDescent="0.25">
      <c r="A2653" s="2">
        <v>44893</v>
      </c>
      <c r="B2653" t="s">
        <v>45</v>
      </c>
      <c r="C2653">
        <v>0</v>
      </c>
      <c r="D2653" s="3">
        <v>15.24</v>
      </c>
      <c r="E2653" s="3">
        <v>0</v>
      </c>
      <c r="F2653">
        <v>3</v>
      </c>
      <c r="G2653">
        <v>3</v>
      </c>
      <c r="H2653" s="4">
        <v>1.8</v>
      </c>
      <c r="I2653" t="s">
        <v>33</v>
      </c>
      <c r="J2653" t="s">
        <v>33</v>
      </c>
      <c r="L2653">
        <f t="shared" si="82"/>
        <v>2022</v>
      </c>
      <c r="M2653" t="str">
        <f t="shared" si="83"/>
        <v>COVID Period</v>
      </c>
    </row>
    <row r="2654" spans="1:13" x14ac:dyDescent="0.25">
      <c r="A2654" s="2">
        <v>44900</v>
      </c>
      <c r="B2654" t="s">
        <v>32</v>
      </c>
      <c r="C2654">
        <v>22</v>
      </c>
      <c r="D2654" s="3">
        <v>6.97</v>
      </c>
      <c r="E2654" s="3">
        <v>153.34</v>
      </c>
      <c r="F2654">
        <v>36</v>
      </c>
      <c r="G2654">
        <v>19</v>
      </c>
      <c r="H2654" s="4">
        <v>1.5</v>
      </c>
      <c r="I2654" t="s">
        <v>33</v>
      </c>
      <c r="J2654" t="s">
        <v>33</v>
      </c>
      <c r="L2654">
        <f t="shared" si="82"/>
        <v>2022</v>
      </c>
      <c r="M2654" t="str">
        <f t="shared" si="83"/>
        <v>COVID Period</v>
      </c>
    </row>
    <row r="2655" spans="1:13" x14ac:dyDescent="0.25">
      <c r="A2655" s="2">
        <v>44900</v>
      </c>
      <c r="B2655" t="s">
        <v>34</v>
      </c>
      <c r="C2655">
        <v>17</v>
      </c>
      <c r="D2655" s="3">
        <v>6.98</v>
      </c>
      <c r="E2655" s="3">
        <v>118.66</v>
      </c>
      <c r="F2655">
        <v>22</v>
      </c>
      <c r="G2655">
        <v>5</v>
      </c>
      <c r="H2655" s="4">
        <v>3.7</v>
      </c>
      <c r="I2655" t="s">
        <v>33</v>
      </c>
      <c r="J2655" t="s">
        <v>33</v>
      </c>
      <c r="L2655">
        <f t="shared" si="82"/>
        <v>2022</v>
      </c>
      <c r="M2655" t="str">
        <f t="shared" si="83"/>
        <v>COVID Period</v>
      </c>
    </row>
    <row r="2656" spans="1:13" x14ac:dyDescent="0.25">
      <c r="A2656" s="2">
        <v>44900</v>
      </c>
      <c r="B2656" t="s">
        <v>35</v>
      </c>
      <c r="C2656">
        <v>15</v>
      </c>
      <c r="D2656" s="3">
        <v>5.95</v>
      </c>
      <c r="E2656" s="3">
        <v>89.25</v>
      </c>
      <c r="F2656">
        <v>20</v>
      </c>
      <c r="G2656">
        <v>7</v>
      </c>
      <c r="H2656" s="4">
        <v>0.8</v>
      </c>
      <c r="I2656" t="s">
        <v>33</v>
      </c>
      <c r="J2656" t="s">
        <v>33</v>
      </c>
      <c r="L2656">
        <f t="shared" si="82"/>
        <v>2022</v>
      </c>
      <c r="M2656" t="str">
        <f t="shared" si="83"/>
        <v>COVID Period</v>
      </c>
    </row>
    <row r="2657" spans="1:13" x14ac:dyDescent="0.25">
      <c r="A2657" s="2">
        <v>44900</v>
      </c>
      <c r="B2657" t="s">
        <v>36</v>
      </c>
      <c r="C2657">
        <v>11</v>
      </c>
      <c r="D2657" s="3">
        <v>6</v>
      </c>
      <c r="E2657" s="3">
        <v>66</v>
      </c>
      <c r="F2657">
        <v>16</v>
      </c>
      <c r="G2657">
        <v>8</v>
      </c>
      <c r="H2657" s="4">
        <v>0.9</v>
      </c>
      <c r="I2657" t="s">
        <v>33</v>
      </c>
      <c r="J2657" t="s">
        <v>33</v>
      </c>
      <c r="L2657">
        <f t="shared" si="82"/>
        <v>2022</v>
      </c>
      <c r="M2657" t="str">
        <f t="shared" si="83"/>
        <v>COVID Period</v>
      </c>
    </row>
    <row r="2658" spans="1:13" x14ac:dyDescent="0.25">
      <c r="A2658" s="2">
        <v>44900</v>
      </c>
      <c r="B2658" t="s">
        <v>37</v>
      </c>
      <c r="C2658">
        <v>36</v>
      </c>
      <c r="D2658" s="3">
        <v>3.1</v>
      </c>
      <c r="E2658" s="3">
        <v>111.6</v>
      </c>
      <c r="F2658">
        <v>55</v>
      </c>
      <c r="G2658">
        <v>21</v>
      </c>
      <c r="H2658" s="4">
        <v>1.4</v>
      </c>
      <c r="I2658" t="s">
        <v>33</v>
      </c>
      <c r="J2658" t="s">
        <v>33</v>
      </c>
      <c r="L2658">
        <f t="shared" si="82"/>
        <v>2022</v>
      </c>
      <c r="M2658" t="str">
        <f t="shared" si="83"/>
        <v>COVID Period</v>
      </c>
    </row>
    <row r="2659" spans="1:13" x14ac:dyDescent="0.25">
      <c r="A2659" s="2">
        <v>44900</v>
      </c>
      <c r="B2659" t="s">
        <v>38</v>
      </c>
      <c r="C2659">
        <v>21</v>
      </c>
      <c r="D2659" s="3">
        <v>8.83</v>
      </c>
      <c r="E2659" s="3">
        <v>185.43</v>
      </c>
      <c r="F2659">
        <v>34</v>
      </c>
      <c r="G2659">
        <v>19</v>
      </c>
      <c r="H2659" s="4">
        <v>0.7</v>
      </c>
      <c r="I2659" t="s">
        <v>33</v>
      </c>
      <c r="J2659" t="s">
        <v>33</v>
      </c>
      <c r="L2659">
        <f t="shared" si="82"/>
        <v>2022</v>
      </c>
      <c r="M2659" t="str">
        <f t="shared" si="83"/>
        <v>COVID Period</v>
      </c>
    </row>
    <row r="2660" spans="1:13" x14ac:dyDescent="0.25">
      <c r="A2660" s="2">
        <v>44900</v>
      </c>
      <c r="B2660" t="s">
        <v>39</v>
      </c>
      <c r="C2660">
        <v>24</v>
      </c>
      <c r="D2660" s="3">
        <v>11.28</v>
      </c>
      <c r="E2660" s="3">
        <v>270.72000000000003</v>
      </c>
      <c r="F2660">
        <v>32</v>
      </c>
      <c r="G2660">
        <v>10</v>
      </c>
      <c r="H2660" s="4">
        <v>2.5</v>
      </c>
      <c r="I2660" t="s">
        <v>33</v>
      </c>
      <c r="J2660" t="s">
        <v>33</v>
      </c>
      <c r="L2660">
        <f t="shared" si="82"/>
        <v>2022</v>
      </c>
      <c r="M2660" t="str">
        <f t="shared" si="83"/>
        <v>COVID Period</v>
      </c>
    </row>
    <row r="2661" spans="1:13" x14ac:dyDescent="0.25">
      <c r="A2661" s="2">
        <v>44900</v>
      </c>
      <c r="B2661" t="s">
        <v>40</v>
      </c>
      <c r="C2661">
        <v>20</v>
      </c>
      <c r="D2661" s="3">
        <v>0.66</v>
      </c>
      <c r="E2661" s="3">
        <v>13.2</v>
      </c>
      <c r="F2661">
        <v>22</v>
      </c>
      <c r="G2661">
        <v>3</v>
      </c>
      <c r="H2661" s="4">
        <v>2.7</v>
      </c>
      <c r="I2661" t="s">
        <v>33</v>
      </c>
      <c r="J2661" t="s">
        <v>33</v>
      </c>
      <c r="L2661">
        <f t="shared" si="82"/>
        <v>2022</v>
      </c>
      <c r="M2661" t="str">
        <f t="shared" si="83"/>
        <v>COVID Period</v>
      </c>
    </row>
    <row r="2662" spans="1:13" x14ac:dyDescent="0.25">
      <c r="A2662" s="2">
        <v>44900</v>
      </c>
      <c r="B2662" t="s">
        <v>41</v>
      </c>
      <c r="C2662">
        <v>8</v>
      </c>
      <c r="D2662" s="3">
        <v>1.4</v>
      </c>
      <c r="E2662" s="3">
        <v>11.2</v>
      </c>
      <c r="F2662">
        <v>10</v>
      </c>
      <c r="G2662">
        <v>3</v>
      </c>
      <c r="H2662" s="4">
        <v>2.4</v>
      </c>
      <c r="I2662" t="s">
        <v>33</v>
      </c>
      <c r="J2662" t="s">
        <v>33</v>
      </c>
      <c r="L2662">
        <f t="shared" si="82"/>
        <v>2022</v>
      </c>
      <c r="M2662" t="str">
        <f t="shared" si="83"/>
        <v>COVID Period</v>
      </c>
    </row>
    <row r="2663" spans="1:13" x14ac:dyDescent="0.25">
      <c r="A2663" s="2">
        <v>44900</v>
      </c>
      <c r="B2663" t="s">
        <v>42</v>
      </c>
      <c r="C2663">
        <v>13</v>
      </c>
      <c r="D2663" s="3">
        <v>4.22</v>
      </c>
      <c r="E2663" s="3">
        <v>54.86</v>
      </c>
      <c r="F2663">
        <v>20</v>
      </c>
      <c r="G2663">
        <v>7</v>
      </c>
      <c r="H2663" s="4">
        <v>2.5</v>
      </c>
      <c r="I2663" t="s">
        <v>33</v>
      </c>
      <c r="J2663" t="s">
        <v>33</v>
      </c>
      <c r="L2663">
        <f t="shared" si="82"/>
        <v>2022</v>
      </c>
      <c r="M2663" t="str">
        <f t="shared" si="83"/>
        <v>COVID Period</v>
      </c>
    </row>
    <row r="2664" spans="1:13" x14ac:dyDescent="0.25">
      <c r="A2664" s="2">
        <v>44900</v>
      </c>
      <c r="B2664" t="s">
        <v>43</v>
      </c>
      <c r="C2664">
        <v>7</v>
      </c>
      <c r="D2664" s="3">
        <v>5.39</v>
      </c>
      <c r="E2664" s="3">
        <v>37.729999999999997</v>
      </c>
      <c r="F2664">
        <v>8</v>
      </c>
      <c r="G2664">
        <v>1</v>
      </c>
      <c r="H2664" s="4">
        <v>2.7</v>
      </c>
      <c r="I2664" t="s">
        <v>33</v>
      </c>
      <c r="J2664" t="s">
        <v>33</v>
      </c>
      <c r="L2664">
        <f t="shared" si="82"/>
        <v>2022</v>
      </c>
      <c r="M2664" t="str">
        <f t="shared" si="83"/>
        <v>COVID Period</v>
      </c>
    </row>
    <row r="2665" spans="1:13" x14ac:dyDescent="0.25">
      <c r="A2665" s="2">
        <v>44900</v>
      </c>
      <c r="B2665" t="s">
        <v>44</v>
      </c>
      <c r="C2665">
        <v>1</v>
      </c>
      <c r="D2665" s="3">
        <v>5</v>
      </c>
      <c r="E2665" s="3">
        <v>5</v>
      </c>
      <c r="F2665">
        <v>3</v>
      </c>
      <c r="G2665">
        <v>2</v>
      </c>
      <c r="H2665" s="4">
        <v>1.4</v>
      </c>
      <c r="I2665" t="s">
        <v>46</v>
      </c>
      <c r="J2665" t="s">
        <v>46</v>
      </c>
      <c r="K2665" t="s">
        <v>47</v>
      </c>
      <c r="L2665">
        <f t="shared" si="82"/>
        <v>2022</v>
      </c>
      <c r="M2665" t="str">
        <f t="shared" si="83"/>
        <v>COVID Period</v>
      </c>
    </row>
    <row r="2666" spans="1:13" x14ac:dyDescent="0.25">
      <c r="A2666" s="2">
        <v>44900</v>
      </c>
      <c r="B2666" t="s">
        <v>45</v>
      </c>
      <c r="C2666">
        <v>2</v>
      </c>
      <c r="D2666" s="3">
        <v>14.92</v>
      </c>
      <c r="E2666" s="3">
        <v>29.84</v>
      </c>
      <c r="F2666">
        <v>3</v>
      </c>
      <c r="G2666">
        <v>1</v>
      </c>
      <c r="H2666" s="4">
        <v>1.3</v>
      </c>
      <c r="I2666" t="s">
        <v>46</v>
      </c>
      <c r="J2666" t="s">
        <v>33</v>
      </c>
      <c r="L2666">
        <f t="shared" si="82"/>
        <v>2022</v>
      </c>
      <c r="M2666" t="str">
        <f t="shared" si="83"/>
        <v>COVID Period</v>
      </c>
    </row>
    <row r="2667" spans="1:13" x14ac:dyDescent="0.25">
      <c r="A2667" s="2">
        <v>44907</v>
      </c>
      <c r="B2667" t="s">
        <v>32</v>
      </c>
      <c r="C2667">
        <v>29</v>
      </c>
      <c r="D2667" s="3">
        <v>6.68</v>
      </c>
      <c r="E2667" s="3">
        <v>193.72</v>
      </c>
      <c r="F2667">
        <v>40</v>
      </c>
      <c r="G2667">
        <v>16</v>
      </c>
      <c r="H2667" s="4">
        <v>1.8</v>
      </c>
      <c r="I2667" t="s">
        <v>33</v>
      </c>
      <c r="J2667" t="s">
        <v>33</v>
      </c>
      <c r="L2667">
        <f t="shared" si="82"/>
        <v>2022</v>
      </c>
      <c r="M2667" t="str">
        <f t="shared" si="83"/>
        <v>COVID Period</v>
      </c>
    </row>
    <row r="2668" spans="1:13" x14ac:dyDescent="0.25">
      <c r="A2668" s="2">
        <v>44907</v>
      </c>
      <c r="B2668" t="s">
        <v>34</v>
      </c>
      <c r="C2668">
        <v>19</v>
      </c>
      <c r="D2668" s="3">
        <v>6.86</v>
      </c>
      <c r="E2668" s="3">
        <v>130.34</v>
      </c>
      <c r="F2668">
        <v>20</v>
      </c>
      <c r="G2668">
        <v>4</v>
      </c>
      <c r="H2668" s="4">
        <v>1.3</v>
      </c>
      <c r="I2668" t="s">
        <v>33</v>
      </c>
      <c r="J2668" t="s">
        <v>33</v>
      </c>
      <c r="L2668">
        <f t="shared" si="82"/>
        <v>2022</v>
      </c>
      <c r="M2668" t="str">
        <f t="shared" si="83"/>
        <v>COVID Period</v>
      </c>
    </row>
    <row r="2669" spans="1:13" x14ac:dyDescent="0.25">
      <c r="A2669" s="2">
        <v>44907</v>
      </c>
      <c r="B2669" t="s">
        <v>35</v>
      </c>
      <c r="C2669">
        <v>15</v>
      </c>
      <c r="D2669" s="3">
        <v>5.88</v>
      </c>
      <c r="E2669" s="3">
        <v>88.2</v>
      </c>
      <c r="F2669">
        <v>22</v>
      </c>
      <c r="G2669">
        <v>9</v>
      </c>
      <c r="H2669" s="4">
        <v>1</v>
      </c>
      <c r="I2669" t="s">
        <v>33</v>
      </c>
      <c r="J2669" t="s">
        <v>33</v>
      </c>
      <c r="L2669">
        <f t="shared" si="82"/>
        <v>2022</v>
      </c>
      <c r="M2669" t="str">
        <f t="shared" si="83"/>
        <v>COVID Period</v>
      </c>
    </row>
    <row r="2670" spans="1:13" x14ac:dyDescent="0.25">
      <c r="A2670" s="2">
        <v>44907</v>
      </c>
      <c r="B2670" t="s">
        <v>36</v>
      </c>
      <c r="C2670">
        <v>12</v>
      </c>
      <c r="D2670" s="3">
        <v>6.49</v>
      </c>
      <c r="E2670" s="3">
        <v>77.88</v>
      </c>
      <c r="F2670">
        <v>15</v>
      </c>
      <c r="G2670">
        <v>5</v>
      </c>
      <c r="H2670" s="4">
        <v>0.6</v>
      </c>
      <c r="I2670" t="s">
        <v>33</v>
      </c>
      <c r="J2670" t="s">
        <v>33</v>
      </c>
      <c r="L2670">
        <f t="shared" si="82"/>
        <v>2022</v>
      </c>
      <c r="M2670" t="str">
        <f t="shared" si="83"/>
        <v>COVID Period</v>
      </c>
    </row>
    <row r="2671" spans="1:13" x14ac:dyDescent="0.25">
      <c r="A2671" s="2">
        <v>44907</v>
      </c>
      <c r="B2671" t="s">
        <v>37</v>
      </c>
      <c r="C2671">
        <v>35</v>
      </c>
      <c r="D2671" s="3">
        <v>3.25</v>
      </c>
      <c r="E2671" s="3">
        <v>113.75</v>
      </c>
      <c r="F2671">
        <v>56</v>
      </c>
      <c r="G2671">
        <v>28</v>
      </c>
      <c r="H2671" s="4">
        <v>0.2</v>
      </c>
      <c r="I2671" t="s">
        <v>33</v>
      </c>
      <c r="J2671" t="s">
        <v>33</v>
      </c>
      <c r="L2671">
        <f t="shared" si="82"/>
        <v>2022</v>
      </c>
      <c r="M2671" t="str">
        <f t="shared" si="83"/>
        <v>COVID Period</v>
      </c>
    </row>
    <row r="2672" spans="1:13" x14ac:dyDescent="0.25">
      <c r="A2672" s="2">
        <v>44907</v>
      </c>
      <c r="B2672" t="s">
        <v>38</v>
      </c>
      <c r="C2672">
        <v>13</v>
      </c>
      <c r="D2672" s="3">
        <v>8.48</v>
      </c>
      <c r="E2672" s="3">
        <v>110.24</v>
      </c>
      <c r="F2672">
        <v>18</v>
      </c>
      <c r="G2672">
        <v>6</v>
      </c>
      <c r="H2672" s="4">
        <v>1.2</v>
      </c>
      <c r="I2672" t="s">
        <v>33</v>
      </c>
      <c r="J2672" t="s">
        <v>33</v>
      </c>
      <c r="L2672">
        <f t="shared" si="82"/>
        <v>2022</v>
      </c>
      <c r="M2672" t="str">
        <f t="shared" si="83"/>
        <v>COVID Period</v>
      </c>
    </row>
    <row r="2673" spans="1:13" x14ac:dyDescent="0.25">
      <c r="A2673" s="2">
        <v>44907</v>
      </c>
      <c r="B2673" t="s">
        <v>39</v>
      </c>
      <c r="C2673">
        <v>23</v>
      </c>
      <c r="D2673" s="3">
        <v>11.42</v>
      </c>
      <c r="E2673" s="3">
        <v>262.66000000000003</v>
      </c>
      <c r="F2673">
        <v>31</v>
      </c>
      <c r="G2673">
        <v>8</v>
      </c>
      <c r="H2673" s="4">
        <v>1.7</v>
      </c>
      <c r="I2673" t="s">
        <v>33</v>
      </c>
      <c r="J2673" t="s">
        <v>33</v>
      </c>
      <c r="L2673">
        <f t="shared" si="82"/>
        <v>2022</v>
      </c>
      <c r="M2673" t="str">
        <f t="shared" si="83"/>
        <v>COVID Period</v>
      </c>
    </row>
    <row r="2674" spans="1:13" x14ac:dyDescent="0.25">
      <c r="A2674" s="2">
        <v>44907</v>
      </c>
      <c r="B2674" t="s">
        <v>40</v>
      </c>
      <c r="C2674">
        <v>18</v>
      </c>
      <c r="D2674" s="3">
        <v>0.67</v>
      </c>
      <c r="E2674" s="3">
        <v>12.06</v>
      </c>
      <c r="F2674">
        <v>18</v>
      </c>
      <c r="G2674">
        <v>3</v>
      </c>
      <c r="H2674" s="4">
        <v>3.2</v>
      </c>
      <c r="I2674" t="s">
        <v>33</v>
      </c>
      <c r="J2674" t="s">
        <v>33</v>
      </c>
      <c r="L2674">
        <f t="shared" si="82"/>
        <v>2022</v>
      </c>
      <c r="M2674" t="str">
        <f t="shared" si="83"/>
        <v>COVID Period</v>
      </c>
    </row>
    <row r="2675" spans="1:13" x14ac:dyDescent="0.25">
      <c r="A2675" s="2">
        <v>44907</v>
      </c>
      <c r="B2675" t="s">
        <v>41</v>
      </c>
      <c r="C2675">
        <v>11</v>
      </c>
      <c r="D2675" s="3">
        <v>1.37</v>
      </c>
      <c r="E2675" s="3">
        <v>15.07</v>
      </c>
      <c r="F2675">
        <v>12</v>
      </c>
      <c r="G2675">
        <v>2</v>
      </c>
      <c r="H2675" s="4">
        <v>1.2</v>
      </c>
      <c r="I2675" t="s">
        <v>33</v>
      </c>
      <c r="J2675" t="s">
        <v>33</v>
      </c>
      <c r="L2675">
        <f t="shared" si="82"/>
        <v>2022</v>
      </c>
      <c r="M2675" t="str">
        <f t="shared" si="83"/>
        <v>COVID Period</v>
      </c>
    </row>
    <row r="2676" spans="1:13" x14ac:dyDescent="0.25">
      <c r="A2676" s="2">
        <v>44907</v>
      </c>
      <c r="B2676" t="s">
        <v>42</v>
      </c>
      <c r="C2676">
        <v>15</v>
      </c>
      <c r="D2676" s="3">
        <v>4.12</v>
      </c>
      <c r="E2676" s="3">
        <v>61.8</v>
      </c>
      <c r="F2676">
        <v>16</v>
      </c>
      <c r="G2676">
        <v>2</v>
      </c>
      <c r="H2676" s="4">
        <v>2.5</v>
      </c>
      <c r="I2676" t="s">
        <v>33</v>
      </c>
      <c r="J2676" t="s">
        <v>46</v>
      </c>
      <c r="L2676">
        <f t="shared" si="82"/>
        <v>2022</v>
      </c>
      <c r="M2676" t="str">
        <f t="shared" si="83"/>
        <v>COVID Period</v>
      </c>
    </row>
    <row r="2677" spans="1:13" x14ac:dyDescent="0.25">
      <c r="A2677" s="2">
        <v>44907</v>
      </c>
      <c r="B2677" t="s">
        <v>43</v>
      </c>
      <c r="C2677">
        <v>7</v>
      </c>
      <c r="D2677" s="3">
        <v>5.43</v>
      </c>
      <c r="E2677" s="3">
        <v>38.01</v>
      </c>
      <c r="F2677">
        <v>8</v>
      </c>
      <c r="G2677">
        <v>1</v>
      </c>
      <c r="H2677" s="4">
        <v>2.8</v>
      </c>
      <c r="I2677" t="s">
        <v>33</v>
      </c>
      <c r="J2677" t="s">
        <v>33</v>
      </c>
      <c r="L2677">
        <f t="shared" si="82"/>
        <v>2022</v>
      </c>
      <c r="M2677" t="str">
        <f t="shared" si="83"/>
        <v>COVID Period</v>
      </c>
    </row>
    <row r="2678" spans="1:13" x14ac:dyDescent="0.25">
      <c r="A2678" s="2">
        <v>44907</v>
      </c>
      <c r="B2678" t="s">
        <v>44</v>
      </c>
      <c r="C2678">
        <v>0</v>
      </c>
      <c r="D2678" s="3">
        <v>4.7300000000000004</v>
      </c>
      <c r="E2678" s="3">
        <v>0</v>
      </c>
      <c r="F2678">
        <v>3</v>
      </c>
      <c r="G2678">
        <v>3</v>
      </c>
      <c r="H2678" s="4">
        <v>1.3</v>
      </c>
      <c r="I2678" t="s">
        <v>33</v>
      </c>
      <c r="J2678" t="s">
        <v>33</v>
      </c>
      <c r="L2678">
        <f t="shared" si="82"/>
        <v>2022</v>
      </c>
      <c r="M2678" t="str">
        <f t="shared" si="83"/>
        <v>COVID Period</v>
      </c>
    </row>
    <row r="2679" spans="1:13" x14ac:dyDescent="0.25">
      <c r="A2679" s="2">
        <v>44907</v>
      </c>
      <c r="B2679" t="s">
        <v>45</v>
      </c>
      <c r="C2679">
        <v>0</v>
      </c>
      <c r="D2679" s="3">
        <v>15.74</v>
      </c>
      <c r="E2679" s="3">
        <v>0</v>
      </c>
      <c r="F2679">
        <v>3</v>
      </c>
      <c r="G2679">
        <v>3</v>
      </c>
      <c r="H2679" s="4">
        <v>0.5</v>
      </c>
      <c r="I2679" t="s">
        <v>33</v>
      </c>
      <c r="J2679" t="s">
        <v>33</v>
      </c>
      <c r="L2679">
        <f t="shared" si="82"/>
        <v>2022</v>
      </c>
      <c r="M2679" t="str">
        <f t="shared" si="83"/>
        <v>COVID Period</v>
      </c>
    </row>
    <row r="2680" spans="1:13" x14ac:dyDescent="0.25">
      <c r="A2680" s="2">
        <v>44914</v>
      </c>
      <c r="B2680" t="s">
        <v>32</v>
      </c>
      <c r="C2680">
        <v>22</v>
      </c>
      <c r="D2680" s="3">
        <v>7.03</v>
      </c>
      <c r="E2680" s="3">
        <v>154.66</v>
      </c>
      <c r="F2680">
        <v>32</v>
      </c>
      <c r="G2680">
        <v>12</v>
      </c>
      <c r="H2680" s="4">
        <v>0.4</v>
      </c>
      <c r="I2680" t="s">
        <v>33</v>
      </c>
      <c r="J2680" t="s">
        <v>33</v>
      </c>
      <c r="L2680">
        <f t="shared" si="82"/>
        <v>2022</v>
      </c>
      <c r="M2680" t="str">
        <f t="shared" si="83"/>
        <v>COVID Period</v>
      </c>
    </row>
    <row r="2681" spans="1:13" x14ac:dyDescent="0.25">
      <c r="A2681" s="2">
        <v>44914</v>
      </c>
      <c r="B2681" t="s">
        <v>34</v>
      </c>
      <c r="C2681">
        <v>15</v>
      </c>
      <c r="D2681" s="3">
        <v>7.36</v>
      </c>
      <c r="E2681" s="3">
        <v>110.4</v>
      </c>
      <c r="F2681">
        <v>23</v>
      </c>
      <c r="G2681">
        <v>11</v>
      </c>
      <c r="H2681" s="4">
        <v>2.2999999999999998</v>
      </c>
      <c r="I2681" t="s">
        <v>33</v>
      </c>
      <c r="J2681" t="s">
        <v>33</v>
      </c>
      <c r="L2681">
        <f t="shared" si="82"/>
        <v>2022</v>
      </c>
      <c r="M2681" t="str">
        <f t="shared" si="83"/>
        <v>COVID Period</v>
      </c>
    </row>
    <row r="2682" spans="1:13" x14ac:dyDescent="0.25">
      <c r="A2682" s="2">
        <v>44914</v>
      </c>
      <c r="B2682" t="s">
        <v>35</v>
      </c>
      <c r="C2682">
        <v>10</v>
      </c>
      <c r="D2682" s="3">
        <v>6.15</v>
      </c>
      <c r="E2682" s="3">
        <v>61.5</v>
      </c>
      <c r="F2682">
        <v>16</v>
      </c>
      <c r="G2682">
        <v>9</v>
      </c>
      <c r="H2682" s="4">
        <v>2</v>
      </c>
      <c r="I2682" t="s">
        <v>33</v>
      </c>
      <c r="J2682" t="s">
        <v>33</v>
      </c>
      <c r="L2682">
        <f t="shared" si="82"/>
        <v>2022</v>
      </c>
      <c r="M2682" t="str">
        <f t="shared" si="83"/>
        <v>COVID Period</v>
      </c>
    </row>
    <row r="2683" spans="1:13" x14ac:dyDescent="0.25">
      <c r="A2683" s="2">
        <v>44914</v>
      </c>
      <c r="B2683" t="s">
        <v>36</v>
      </c>
      <c r="C2683">
        <v>8</v>
      </c>
      <c r="D2683" s="3">
        <v>6.04</v>
      </c>
      <c r="E2683" s="3">
        <v>48.32</v>
      </c>
      <c r="F2683">
        <v>11</v>
      </c>
      <c r="G2683">
        <v>4</v>
      </c>
      <c r="H2683" s="4">
        <v>2.2000000000000002</v>
      </c>
      <c r="I2683" t="s">
        <v>33</v>
      </c>
      <c r="J2683" t="s">
        <v>33</v>
      </c>
      <c r="L2683">
        <f t="shared" si="82"/>
        <v>2022</v>
      </c>
      <c r="M2683" t="str">
        <f t="shared" si="83"/>
        <v>COVID Period</v>
      </c>
    </row>
    <row r="2684" spans="1:13" x14ac:dyDescent="0.25">
      <c r="A2684" s="2">
        <v>44914</v>
      </c>
      <c r="B2684" t="s">
        <v>37</v>
      </c>
      <c r="C2684">
        <v>29</v>
      </c>
      <c r="D2684" s="3">
        <v>3.19</v>
      </c>
      <c r="E2684" s="3">
        <v>92.51</v>
      </c>
      <c r="F2684">
        <v>36</v>
      </c>
      <c r="G2684">
        <v>7</v>
      </c>
      <c r="H2684" s="4">
        <v>1.6</v>
      </c>
      <c r="I2684" t="s">
        <v>33</v>
      </c>
      <c r="J2684" t="s">
        <v>33</v>
      </c>
      <c r="L2684">
        <f t="shared" si="82"/>
        <v>2022</v>
      </c>
      <c r="M2684" t="str">
        <f t="shared" si="83"/>
        <v>COVID Period</v>
      </c>
    </row>
    <row r="2685" spans="1:13" x14ac:dyDescent="0.25">
      <c r="A2685" s="2">
        <v>44914</v>
      </c>
      <c r="B2685" t="s">
        <v>38</v>
      </c>
      <c r="C2685">
        <v>13</v>
      </c>
      <c r="D2685" s="3">
        <v>8.3800000000000008</v>
      </c>
      <c r="E2685" s="3">
        <v>108.94</v>
      </c>
      <c r="F2685">
        <v>19</v>
      </c>
      <c r="G2685">
        <v>7</v>
      </c>
      <c r="H2685" s="4">
        <v>2.1</v>
      </c>
      <c r="I2685" t="s">
        <v>33</v>
      </c>
      <c r="J2685" t="s">
        <v>33</v>
      </c>
      <c r="L2685">
        <f t="shared" si="82"/>
        <v>2022</v>
      </c>
      <c r="M2685" t="str">
        <f t="shared" si="83"/>
        <v>COVID Period</v>
      </c>
    </row>
    <row r="2686" spans="1:13" x14ac:dyDescent="0.25">
      <c r="A2686" s="2">
        <v>44914</v>
      </c>
      <c r="B2686" t="s">
        <v>39</v>
      </c>
      <c r="C2686">
        <v>25</v>
      </c>
      <c r="D2686" s="3">
        <v>11.59</v>
      </c>
      <c r="E2686" s="3">
        <v>289.75</v>
      </c>
      <c r="F2686">
        <v>39</v>
      </c>
      <c r="G2686">
        <v>17</v>
      </c>
      <c r="H2686" s="4">
        <v>1</v>
      </c>
      <c r="I2686" t="s">
        <v>33</v>
      </c>
      <c r="J2686" t="s">
        <v>33</v>
      </c>
      <c r="L2686">
        <f t="shared" si="82"/>
        <v>2022</v>
      </c>
      <c r="M2686" t="str">
        <f t="shared" si="83"/>
        <v>COVID Period</v>
      </c>
    </row>
    <row r="2687" spans="1:13" x14ac:dyDescent="0.25">
      <c r="A2687" s="2">
        <v>44914</v>
      </c>
      <c r="B2687" t="s">
        <v>40</v>
      </c>
      <c r="C2687">
        <v>24</v>
      </c>
      <c r="D2687" s="3">
        <v>0.67</v>
      </c>
      <c r="E2687" s="3">
        <v>16.079999999999998</v>
      </c>
      <c r="F2687">
        <v>25</v>
      </c>
      <c r="G2687">
        <v>3</v>
      </c>
      <c r="H2687" s="4">
        <v>3</v>
      </c>
      <c r="I2687" t="s">
        <v>33</v>
      </c>
      <c r="J2687" t="s">
        <v>33</v>
      </c>
      <c r="L2687">
        <f t="shared" si="82"/>
        <v>2022</v>
      </c>
      <c r="M2687" t="str">
        <f t="shared" si="83"/>
        <v>COVID Period</v>
      </c>
    </row>
    <row r="2688" spans="1:13" x14ac:dyDescent="0.25">
      <c r="A2688" s="2">
        <v>44914</v>
      </c>
      <c r="B2688" t="s">
        <v>41</v>
      </c>
      <c r="C2688">
        <v>15</v>
      </c>
      <c r="D2688" s="3">
        <v>1.39</v>
      </c>
      <c r="E2688" s="3">
        <v>20.85</v>
      </c>
      <c r="F2688">
        <v>19</v>
      </c>
      <c r="G2688">
        <v>5</v>
      </c>
      <c r="H2688" s="4">
        <v>3.4</v>
      </c>
      <c r="I2688" t="s">
        <v>33</v>
      </c>
      <c r="J2688" t="s">
        <v>33</v>
      </c>
      <c r="L2688">
        <f t="shared" si="82"/>
        <v>2022</v>
      </c>
      <c r="M2688" t="str">
        <f t="shared" si="83"/>
        <v>COVID Period</v>
      </c>
    </row>
    <row r="2689" spans="1:13" x14ac:dyDescent="0.25">
      <c r="A2689" s="2">
        <v>44914</v>
      </c>
      <c r="B2689" t="s">
        <v>42</v>
      </c>
      <c r="C2689">
        <v>20</v>
      </c>
      <c r="D2689" s="3">
        <v>4.29</v>
      </c>
      <c r="E2689" s="3">
        <v>85.8</v>
      </c>
      <c r="F2689">
        <v>21</v>
      </c>
      <c r="G2689">
        <v>1</v>
      </c>
      <c r="H2689" s="4">
        <v>2.2999999999999998</v>
      </c>
      <c r="I2689" t="s">
        <v>33</v>
      </c>
      <c r="J2689" t="s">
        <v>46</v>
      </c>
      <c r="L2689">
        <f t="shared" si="82"/>
        <v>2022</v>
      </c>
      <c r="M2689" t="str">
        <f t="shared" si="83"/>
        <v>COVID Period</v>
      </c>
    </row>
    <row r="2690" spans="1:13" x14ac:dyDescent="0.25">
      <c r="A2690" s="2">
        <v>44914</v>
      </c>
      <c r="B2690" t="s">
        <v>43</v>
      </c>
      <c r="C2690">
        <v>7</v>
      </c>
      <c r="D2690" s="3">
        <v>5.61</v>
      </c>
      <c r="E2690" s="3">
        <v>39.270000000000003</v>
      </c>
      <c r="F2690">
        <v>9</v>
      </c>
      <c r="G2690">
        <v>2</v>
      </c>
      <c r="H2690" s="4">
        <v>4.5</v>
      </c>
      <c r="I2690" t="s">
        <v>33</v>
      </c>
      <c r="J2690" t="s">
        <v>46</v>
      </c>
      <c r="L2690">
        <f t="shared" ref="L2690:L2705" si="84">YEAR(A2690)</f>
        <v>2022</v>
      </c>
      <c r="M2690" t="str">
        <f t="shared" ref="M2690:M2753" si="85">IF(L2690=2019,"Pre-COVID","COVID Period")</f>
        <v>COVID Period</v>
      </c>
    </row>
    <row r="2691" spans="1:13" x14ac:dyDescent="0.25">
      <c r="A2691" s="2">
        <v>44914</v>
      </c>
      <c r="B2691" t="s">
        <v>44</v>
      </c>
      <c r="C2691">
        <v>0</v>
      </c>
      <c r="D2691" s="3">
        <v>4.66</v>
      </c>
      <c r="E2691" s="3">
        <v>0</v>
      </c>
      <c r="F2691">
        <v>3</v>
      </c>
      <c r="G2691">
        <v>3</v>
      </c>
      <c r="H2691" s="4">
        <v>3.6</v>
      </c>
      <c r="I2691" t="s">
        <v>33</v>
      </c>
      <c r="J2691" t="s">
        <v>33</v>
      </c>
      <c r="L2691">
        <f t="shared" si="84"/>
        <v>2022</v>
      </c>
      <c r="M2691" t="str">
        <f t="shared" si="85"/>
        <v>COVID Period</v>
      </c>
    </row>
    <row r="2692" spans="1:13" x14ac:dyDescent="0.25">
      <c r="A2692" s="2">
        <v>44914</v>
      </c>
      <c r="B2692" t="s">
        <v>45</v>
      </c>
      <c r="C2692">
        <v>0</v>
      </c>
      <c r="D2692" s="3">
        <v>15.39</v>
      </c>
      <c r="E2692" s="3">
        <v>0</v>
      </c>
      <c r="F2692">
        <v>3</v>
      </c>
      <c r="G2692">
        <v>3</v>
      </c>
      <c r="H2692" s="4">
        <v>1.2</v>
      </c>
      <c r="I2692" t="s">
        <v>33</v>
      </c>
      <c r="J2692" t="s">
        <v>33</v>
      </c>
      <c r="L2692">
        <f t="shared" si="84"/>
        <v>2022</v>
      </c>
      <c r="M2692" t="str">
        <f t="shared" si="85"/>
        <v>COVID Period</v>
      </c>
    </row>
    <row r="2693" spans="1:13" x14ac:dyDescent="0.25">
      <c r="A2693" s="2">
        <v>44921</v>
      </c>
      <c r="B2693" t="s">
        <v>32</v>
      </c>
      <c r="C2693">
        <v>27</v>
      </c>
      <c r="D2693" s="3">
        <v>6.87</v>
      </c>
      <c r="E2693" s="3">
        <v>185.49</v>
      </c>
      <c r="F2693">
        <v>44</v>
      </c>
      <c r="G2693">
        <v>18</v>
      </c>
      <c r="H2693" s="4">
        <v>1.4</v>
      </c>
      <c r="I2693" t="s">
        <v>33</v>
      </c>
      <c r="J2693" t="s">
        <v>33</v>
      </c>
      <c r="L2693">
        <f t="shared" si="84"/>
        <v>2022</v>
      </c>
      <c r="M2693" t="str">
        <f t="shared" si="85"/>
        <v>COVID Period</v>
      </c>
    </row>
    <row r="2694" spans="1:13" x14ac:dyDescent="0.25">
      <c r="A2694" s="2">
        <v>44921</v>
      </c>
      <c r="B2694" t="s">
        <v>34</v>
      </c>
      <c r="C2694">
        <v>17</v>
      </c>
      <c r="D2694" s="3">
        <v>6.98</v>
      </c>
      <c r="E2694" s="3">
        <v>118.66</v>
      </c>
      <c r="F2694">
        <v>27</v>
      </c>
      <c r="G2694">
        <v>14</v>
      </c>
      <c r="H2694" s="4">
        <v>2.6</v>
      </c>
      <c r="I2694" t="s">
        <v>33</v>
      </c>
      <c r="J2694" t="s">
        <v>33</v>
      </c>
      <c r="L2694">
        <f t="shared" si="84"/>
        <v>2022</v>
      </c>
      <c r="M2694" t="str">
        <f t="shared" si="85"/>
        <v>COVID Period</v>
      </c>
    </row>
    <row r="2695" spans="1:13" x14ac:dyDescent="0.25">
      <c r="A2695" s="2">
        <v>44921</v>
      </c>
      <c r="B2695" t="s">
        <v>35</v>
      </c>
      <c r="C2695">
        <v>13</v>
      </c>
      <c r="D2695" s="3">
        <v>5.98</v>
      </c>
      <c r="E2695" s="3">
        <v>77.739999999999995</v>
      </c>
      <c r="F2695">
        <v>17</v>
      </c>
      <c r="G2695">
        <v>4</v>
      </c>
      <c r="H2695" s="4">
        <v>1.4</v>
      </c>
      <c r="I2695" t="s">
        <v>33</v>
      </c>
      <c r="J2695" t="s">
        <v>33</v>
      </c>
      <c r="L2695">
        <f t="shared" si="84"/>
        <v>2022</v>
      </c>
      <c r="M2695" t="str">
        <f t="shared" si="85"/>
        <v>COVID Period</v>
      </c>
    </row>
    <row r="2696" spans="1:13" x14ac:dyDescent="0.25">
      <c r="A2696" s="2">
        <v>44921</v>
      </c>
      <c r="B2696" t="s">
        <v>36</v>
      </c>
      <c r="C2696">
        <v>13</v>
      </c>
      <c r="D2696" s="3">
        <v>6.08</v>
      </c>
      <c r="E2696" s="3">
        <v>79.040000000000006</v>
      </c>
      <c r="F2696">
        <v>16</v>
      </c>
      <c r="G2696">
        <v>4</v>
      </c>
      <c r="H2696" s="4">
        <v>2.9</v>
      </c>
      <c r="I2696" t="s">
        <v>33</v>
      </c>
      <c r="J2696" t="s">
        <v>33</v>
      </c>
      <c r="L2696">
        <f t="shared" si="84"/>
        <v>2022</v>
      </c>
      <c r="M2696" t="str">
        <f t="shared" si="85"/>
        <v>COVID Period</v>
      </c>
    </row>
    <row r="2697" spans="1:13" x14ac:dyDescent="0.25">
      <c r="A2697" s="2">
        <v>44921</v>
      </c>
      <c r="B2697" t="s">
        <v>37</v>
      </c>
      <c r="C2697">
        <v>36</v>
      </c>
      <c r="D2697" s="3">
        <v>3.15</v>
      </c>
      <c r="E2697" s="3">
        <v>113.4</v>
      </c>
      <c r="F2697">
        <v>56</v>
      </c>
      <c r="G2697">
        <v>23</v>
      </c>
      <c r="H2697" s="4">
        <v>0.9</v>
      </c>
      <c r="I2697" t="s">
        <v>33</v>
      </c>
      <c r="J2697" t="s">
        <v>33</v>
      </c>
      <c r="L2697">
        <f t="shared" si="84"/>
        <v>2022</v>
      </c>
      <c r="M2697" t="str">
        <f t="shared" si="85"/>
        <v>COVID Period</v>
      </c>
    </row>
    <row r="2698" spans="1:13" x14ac:dyDescent="0.25">
      <c r="A2698" s="2">
        <v>44921</v>
      </c>
      <c r="B2698" t="s">
        <v>38</v>
      </c>
      <c r="C2698">
        <v>16</v>
      </c>
      <c r="D2698" s="3">
        <v>8.66</v>
      </c>
      <c r="E2698" s="3">
        <v>138.56</v>
      </c>
      <c r="F2698">
        <v>16</v>
      </c>
      <c r="G2698">
        <v>0</v>
      </c>
      <c r="H2698" s="4">
        <v>2.8</v>
      </c>
      <c r="I2698" t="s">
        <v>33</v>
      </c>
      <c r="J2698" t="s">
        <v>46</v>
      </c>
      <c r="L2698">
        <f t="shared" si="84"/>
        <v>2022</v>
      </c>
      <c r="M2698" t="str">
        <f t="shared" si="85"/>
        <v>COVID Period</v>
      </c>
    </row>
    <row r="2699" spans="1:13" x14ac:dyDescent="0.25">
      <c r="A2699" s="2">
        <v>44921</v>
      </c>
      <c r="B2699" t="s">
        <v>39</v>
      </c>
      <c r="C2699">
        <v>31</v>
      </c>
      <c r="D2699" s="3">
        <v>11.62</v>
      </c>
      <c r="E2699" s="3">
        <v>360.22</v>
      </c>
      <c r="F2699">
        <v>35</v>
      </c>
      <c r="G2699">
        <v>8</v>
      </c>
      <c r="H2699" s="4">
        <v>1.7</v>
      </c>
      <c r="I2699" t="s">
        <v>33</v>
      </c>
      <c r="J2699" t="s">
        <v>33</v>
      </c>
      <c r="L2699">
        <f t="shared" si="84"/>
        <v>2022</v>
      </c>
      <c r="M2699" t="str">
        <f t="shared" si="85"/>
        <v>COVID Period</v>
      </c>
    </row>
    <row r="2700" spans="1:13" x14ac:dyDescent="0.25">
      <c r="A2700" s="2">
        <v>44921</v>
      </c>
      <c r="B2700" t="s">
        <v>40</v>
      </c>
      <c r="C2700">
        <v>20</v>
      </c>
      <c r="D2700" s="3">
        <v>0.64</v>
      </c>
      <c r="E2700" s="3">
        <v>12.8</v>
      </c>
      <c r="F2700">
        <v>27</v>
      </c>
      <c r="G2700">
        <v>8</v>
      </c>
      <c r="H2700" s="4">
        <v>3.7</v>
      </c>
      <c r="I2700" t="s">
        <v>33</v>
      </c>
      <c r="J2700" t="s">
        <v>33</v>
      </c>
      <c r="L2700">
        <f t="shared" si="84"/>
        <v>2022</v>
      </c>
      <c r="M2700" t="str">
        <f t="shared" si="85"/>
        <v>COVID Period</v>
      </c>
    </row>
    <row r="2701" spans="1:13" x14ac:dyDescent="0.25">
      <c r="A2701" s="2">
        <v>44921</v>
      </c>
      <c r="B2701" t="s">
        <v>41</v>
      </c>
      <c r="C2701">
        <v>9</v>
      </c>
      <c r="D2701" s="3">
        <v>1.36</v>
      </c>
      <c r="E2701" s="3">
        <v>12.24</v>
      </c>
      <c r="F2701">
        <v>11</v>
      </c>
      <c r="G2701">
        <v>3</v>
      </c>
      <c r="H2701" s="4">
        <v>2</v>
      </c>
      <c r="I2701" t="s">
        <v>33</v>
      </c>
      <c r="J2701" t="s">
        <v>33</v>
      </c>
      <c r="L2701">
        <f t="shared" si="84"/>
        <v>2022</v>
      </c>
      <c r="M2701" t="str">
        <f t="shared" si="85"/>
        <v>COVID Period</v>
      </c>
    </row>
    <row r="2702" spans="1:13" x14ac:dyDescent="0.25">
      <c r="A2702" s="2">
        <v>44921</v>
      </c>
      <c r="B2702" t="s">
        <v>42</v>
      </c>
      <c r="C2702">
        <v>15</v>
      </c>
      <c r="D2702" s="3">
        <v>4.24</v>
      </c>
      <c r="E2702" s="3">
        <v>63.6</v>
      </c>
      <c r="F2702">
        <v>18</v>
      </c>
      <c r="G2702">
        <v>5</v>
      </c>
      <c r="H2702" s="4">
        <v>0.4</v>
      </c>
      <c r="I2702" t="s">
        <v>33</v>
      </c>
      <c r="J2702" t="s">
        <v>33</v>
      </c>
      <c r="L2702">
        <f t="shared" si="84"/>
        <v>2022</v>
      </c>
      <c r="M2702" t="str">
        <f t="shared" si="85"/>
        <v>COVID Period</v>
      </c>
    </row>
    <row r="2703" spans="1:13" x14ac:dyDescent="0.25">
      <c r="A2703" s="2">
        <v>44921</v>
      </c>
      <c r="B2703" t="s">
        <v>43</v>
      </c>
      <c r="C2703">
        <v>8</v>
      </c>
      <c r="D2703" s="3">
        <v>5.74</v>
      </c>
      <c r="E2703" s="3">
        <v>45.92</v>
      </c>
      <c r="F2703">
        <v>13</v>
      </c>
      <c r="G2703">
        <v>7</v>
      </c>
      <c r="H2703" s="4">
        <v>2.5</v>
      </c>
      <c r="I2703" t="s">
        <v>33</v>
      </c>
      <c r="J2703" t="s">
        <v>33</v>
      </c>
      <c r="L2703">
        <f t="shared" si="84"/>
        <v>2022</v>
      </c>
      <c r="M2703" t="str">
        <f t="shared" si="85"/>
        <v>COVID Period</v>
      </c>
    </row>
    <row r="2704" spans="1:13" x14ac:dyDescent="0.25">
      <c r="A2704" s="2">
        <v>44921</v>
      </c>
      <c r="B2704" t="s">
        <v>44</v>
      </c>
      <c r="C2704">
        <v>0</v>
      </c>
      <c r="D2704" s="3">
        <v>4.63</v>
      </c>
      <c r="E2704" s="3">
        <v>0</v>
      </c>
      <c r="F2704">
        <v>3</v>
      </c>
      <c r="G2704">
        <v>3</v>
      </c>
      <c r="H2704" s="4">
        <v>2</v>
      </c>
      <c r="I2704" t="s">
        <v>33</v>
      </c>
      <c r="J2704" t="s">
        <v>33</v>
      </c>
      <c r="L2704">
        <f t="shared" si="84"/>
        <v>2022</v>
      </c>
      <c r="M2704" t="str">
        <f t="shared" si="85"/>
        <v>COVID Period</v>
      </c>
    </row>
    <row r="2705" spans="1:13" x14ac:dyDescent="0.25">
      <c r="A2705" s="2">
        <v>44921</v>
      </c>
      <c r="B2705" t="s">
        <v>45</v>
      </c>
      <c r="C2705">
        <v>0</v>
      </c>
      <c r="D2705" s="3">
        <v>14.74</v>
      </c>
      <c r="E2705" s="3">
        <v>0</v>
      </c>
      <c r="F2705">
        <v>3</v>
      </c>
      <c r="G2705">
        <v>3</v>
      </c>
      <c r="H2705" s="4">
        <v>1.5</v>
      </c>
      <c r="I2705" t="s">
        <v>33</v>
      </c>
      <c r="J2705" t="s">
        <v>33</v>
      </c>
      <c r="L2705">
        <f t="shared" si="84"/>
        <v>2022</v>
      </c>
      <c r="M2705" t="str">
        <f t="shared" si="85"/>
        <v>COVID Period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sqref="A1:N1"/>
    </sheetView>
  </sheetViews>
  <sheetFormatPr defaultRowHeight="15" x14ac:dyDescent="0.25"/>
  <cols>
    <col min="1" max="14" width="14" customWidth="1"/>
  </cols>
  <sheetData>
    <row r="1" spans="1:14" ht="32.1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1.95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8.1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21.95" customHeight="1" x14ac:dyDescent="0.25">
      <c r="A4" s="26" t="s">
        <v>2</v>
      </c>
      <c r="B4" s="27"/>
      <c r="C4" s="30" t="s">
        <v>3</v>
      </c>
      <c r="D4" s="31"/>
      <c r="E4" s="34" t="s">
        <v>4</v>
      </c>
      <c r="F4" s="35"/>
      <c r="G4" s="38" t="s">
        <v>5</v>
      </c>
      <c r="H4" s="39"/>
      <c r="I4" s="42" t="s">
        <v>6</v>
      </c>
      <c r="J4" s="43"/>
      <c r="K4" s="46" t="s">
        <v>7</v>
      </c>
      <c r="L4" s="47"/>
      <c r="M4" s="50" t="s">
        <v>8</v>
      </c>
      <c r="N4" s="51"/>
    </row>
    <row r="5" spans="1:14" ht="26.1" customHeight="1" x14ac:dyDescent="0.25">
      <c r="A5" s="28">
        <v>230248.17</v>
      </c>
      <c r="B5" s="27"/>
      <c r="C5" s="32">
        <v>42397</v>
      </c>
      <c r="D5" s="31"/>
      <c r="E5" s="36">
        <v>74</v>
      </c>
      <c r="F5" s="35"/>
      <c r="G5" s="40">
        <v>1.8239275147928993</v>
      </c>
      <c r="H5" s="39"/>
      <c r="I5" s="44">
        <v>781</v>
      </c>
      <c r="J5" s="43"/>
      <c r="K5" s="48">
        <v>13</v>
      </c>
      <c r="L5" s="47"/>
      <c r="M5" s="52" t="s">
        <v>9</v>
      </c>
      <c r="N5" s="51"/>
    </row>
    <row r="6" spans="1:14" ht="20.100000000000001" customHeight="1" x14ac:dyDescent="0.25">
      <c r="A6" s="27"/>
      <c r="B6" s="27"/>
      <c r="C6" s="31"/>
      <c r="D6" s="31"/>
      <c r="E6" s="35"/>
      <c r="F6" s="35"/>
      <c r="G6" s="39"/>
      <c r="H6" s="39"/>
      <c r="I6" s="43"/>
      <c r="J6" s="43"/>
      <c r="K6" s="47"/>
      <c r="L6" s="47"/>
      <c r="M6" s="51"/>
      <c r="N6" s="51"/>
    </row>
    <row r="7" spans="1:14" ht="18" customHeight="1" x14ac:dyDescent="0.25">
      <c r="A7" s="29" t="s">
        <v>10</v>
      </c>
      <c r="B7" s="27"/>
      <c r="C7" s="33" t="s">
        <v>10</v>
      </c>
      <c r="D7" s="31"/>
      <c r="E7" s="37" t="s">
        <v>10</v>
      </c>
      <c r="F7" s="35"/>
      <c r="G7" s="41" t="s">
        <v>10</v>
      </c>
      <c r="H7" s="39"/>
      <c r="I7" s="45" t="s">
        <v>10</v>
      </c>
      <c r="J7" s="43"/>
      <c r="K7" s="49" t="s">
        <v>10</v>
      </c>
      <c r="L7" s="47"/>
      <c r="M7" s="53" t="s">
        <v>11</v>
      </c>
      <c r="N7" s="51"/>
    </row>
    <row r="8" spans="1:14" ht="8.1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25">
      <c r="A9" s="22" t="s">
        <v>12</v>
      </c>
      <c r="B9" s="22"/>
      <c r="C9" s="22"/>
      <c r="D9" s="22"/>
      <c r="E9" s="22"/>
      <c r="F9" s="22"/>
      <c r="G9" s="22"/>
      <c r="H9" s="22"/>
      <c r="I9" s="22" t="s">
        <v>13</v>
      </c>
      <c r="J9" s="22"/>
      <c r="K9" s="22"/>
      <c r="L9" s="22"/>
      <c r="M9" s="22"/>
      <c r="N9" s="22"/>
    </row>
    <row r="10" spans="1:14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ht="8.1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x14ac:dyDescent="0.25">
      <c r="A27" s="23" t="s">
        <v>14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x14ac:dyDescent="0.25">
      <c r="A28" s="24" t="s">
        <v>15</v>
      </c>
      <c r="B28" s="24"/>
      <c r="C28" s="24"/>
      <c r="D28" s="24"/>
      <c r="E28" s="24" t="s">
        <v>16</v>
      </c>
      <c r="F28" s="24"/>
      <c r="G28" s="24"/>
      <c r="H28" s="24"/>
      <c r="I28" s="24" t="s">
        <v>17</v>
      </c>
      <c r="J28" s="24"/>
      <c r="K28" s="24"/>
      <c r="L28" s="24" t="s">
        <v>18</v>
      </c>
      <c r="M28" s="24"/>
      <c r="N28" s="24"/>
    </row>
    <row r="29" spans="1:14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8.1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x14ac:dyDescent="0.25">
      <c r="A36" s="25" t="s">
        <v>19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 ht="8.1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</sheetData>
  <mergeCells count="31">
    <mergeCell ref="M4:N4"/>
    <mergeCell ref="M5:N6"/>
    <mergeCell ref="M7:N7"/>
    <mergeCell ref="G7:H7"/>
    <mergeCell ref="I4:J4"/>
    <mergeCell ref="I5:J6"/>
    <mergeCell ref="I7:J7"/>
    <mergeCell ref="K4:L4"/>
    <mergeCell ref="K5:L6"/>
    <mergeCell ref="K7:L7"/>
    <mergeCell ref="A28:D34"/>
    <mergeCell ref="E28:H34"/>
    <mergeCell ref="I28:K34"/>
    <mergeCell ref="L28:N34"/>
    <mergeCell ref="A36:N36"/>
    <mergeCell ref="A1:N1"/>
    <mergeCell ref="A2:N2"/>
    <mergeCell ref="A9:H9"/>
    <mergeCell ref="I9:N9"/>
    <mergeCell ref="A27:N27"/>
    <mergeCell ref="A4:B4"/>
    <mergeCell ref="A5:B6"/>
    <mergeCell ref="A7:B7"/>
    <mergeCell ref="C4:D4"/>
    <mergeCell ref="C5:D6"/>
    <mergeCell ref="C7:D7"/>
    <mergeCell ref="E4:F4"/>
    <mergeCell ref="E5:F6"/>
    <mergeCell ref="E7:F7"/>
    <mergeCell ref="G4:H4"/>
    <mergeCell ref="G5:H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cols>
    <col min="1" max="7" width="18" customWidth="1"/>
  </cols>
  <sheetData>
    <row r="1" spans="1:7" x14ac:dyDescent="0.25">
      <c r="A1" s="5" t="s">
        <v>31</v>
      </c>
      <c r="B1" s="5" t="s">
        <v>49</v>
      </c>
      <c r="C1" s="5" t="s">
        <v>3</v>
      </c>
      <c r="D1" s="5" t="s">
        <v>50</v>
      </c>
      <c r="E1" s="5" t="s">
        <v>51</v>
      </c>
      <c r="F1" s="5" t="s">
        <v>5</v>
      </c>
      <c r="G1" s="5" t="s">
        <v>52</v>
      </c>
    </row>
    <row r="2" spans="1:7" x14ac:dyDescent="0.25">
      <c r="A2" s="6">
        <v>2019</v>
      </c>
      <c r="B2" s="7">
        <f>SUMIFS(Data!$E$2:$E$2705,Data!$L$2:$L$2705,A2)</f>
        <v>46281.22000000003</v>
      </c>
      <c r="C2" s="8">
        <f>SUMIFS(Data!$C$2:$C$2705,Data!$L$2:$L$2705,A2)</f>
        <v>7593</v>
      </c>
      <c r="D2" s="8">
        <f>COUNTIFS(Data!$L$2:$L$2705,A2,Data!$J$2:$J$2705,"Yes")</f>
        <v>17</v>
      </c>
      <c r="E2" s="8">
        <f>COUNTIFS(Data!$L$2:$L$2705,A2,Data!$I$2:$I$2705,"Yes")</f>
        <v>29</v>
      </c>
      <c r="F2" s="4">
        <f>SUMIFS(Data!$H$2:$H$2705,Data!$L$2:$L$2705,A2)/COUNTIFS(Data!$L$2:$L$2705,A2)</f>
        <v>0.79497041420118353</v>
      </c>
      <c r="G2" s="9">
        <f>B2/SUM($B$2:$B$5)</f>
        <v>0.20100581038277093</v>
      </c>
    </row>
    <row r="3" spans="1:7" x14ac:dyDescent="0.25">
      <c r="A3" s="6">
        <v>2020</v>
      </c>
      <c r="B3" s="7">
        <f>SUMIFS(Data!$E$2:$E$2705,Data!$L$2:$L$2705,A3)</f>
        <v>64996.060000000056</v>
      </c>
      <c r="C3" s="8">
        <f>SUMIFS(Data!$C$2:$C$2705,Data!$L$2:$L$2705,A3)</f>
        <v>12715</v>
      </c>
      <c r="D3" s="8">
        <f>COUNTIFS(Data!$L$2:$L$2705,A3,Data!$J$2:$J$2705,"Yes")</f>
        <v>13</v>
      </c>
      <c r="E3" s="8">
        <f>COUNTIFS(Data!$L$2:$L$2705,A3,Data!$I$2:$I$2705,"Yes")</f>
        <v>244</v>
      </c>
      <c r="F3" s="4">
        <f>SUMIFS(Data!$H$2:$H$2705,Data!$L$2:$L$2705,A3)/COUNTIFS(Data!$L$2:$L$2705,A3)</f>
        <v>2.2072485207100594</v>
      </c>
      <c r="G3" s="9">
        <f>B3/SUM($B$2:$B$5)</f>
        <v>0.28228697756859489</v>
      </c>
    </row>
    <row r="4" spans="1:7" x14ac:dyDescent="0.25">
      <c r="A4" s="6">
        <v>2021</v>
      </c>
      <c r="B4" s="7">
        <f>SUMIFS(Data!$E$2:$E$2705,Data!$L$2:$L$2705,A4)</f>
        <v>65753.720000000016</v>
      </c>
      <c r="C4" s="8">
        <f>SUMIFS(Data!$C$2:$C$2705,Data!$L$2:$L$2705,A4)</f>
        <v>12479</v>
      </c>
      <c r="D4" s="8">
        <f>COUNTIFS(Data!$L$2:$L$2705,A4,Data!$J$2:$J$2705,"Yes")</f>
        <v>16</v>
      </c>
      <c r="E4" s="8">
        <f>COUNTIFS(Data!$L$2:$L$2705,A4,Data!$I$2:$I$2705,"Yes")</f>
        <v>341</v>
      </c>
      <c r="F4" s="4">
        <f>SUMIFS(Data!$H$2:$H$2705,Data!$L$2:$L$2705,A4)/COUNTIFS(Data!$L$2:$L$2705,A4)</f>
        <v>2.2999999999999985</v>
      </c>
      <c r="G4" s="9">
        <f>B4/SUM($B$2:$B$5)</f>
        <v>0.28557760089906459</v>
      </c>
    </row>
    <row r="5" spans="1:7" x14ac:dyDescent="0.25">
      <c r="A5" s="6">
        <v>2022</v>
      </c>
      <c r="B5" s="7">
        <f>SUMIFS(Data!$E$2:$E$2705,Data!$L$2:$L$2705,A5)</f>
        <v>53217.170000000006</v>
      </c>
      <c r="C5" s="8">
        <f>SUMIFS(Data!$C$2:$C$2705,Data!$L$2:$L$2705,A5)</f>
        <v>9610</v>
      </c>
      <c r="D5" s="8">
        <f>COUNTIFS(Data!$L$2:$L$2705,A5,Data!$J$2:$J$2705,"Yes")</f>
        <v>28</v>
      </c>
      <c r="E5" s="8">
        <f>COUNTIFS(Data!$L$2:$L$2705,A5,Data!$I$2:$I$2705,"Yes")</f>
        <v>167</v>
      </c>
      <c r="F5" s="4">
        <f>SUMIFS(Data!$H$2:$H$2705,Data!$L$2:$L$2705,A5)/COUNTIFS(Data!$L$2:$L$2705,A5)</f>
        <v>1.9934911242603559</v>
      </c>
      <c r="G5" s="9">
        <f>B5/SUM($B$2:$B$5)</f>
        <v>0.23112961114956951</v>
      </c>
    </row>
    <row r="6" spans="1:7" x14ac:dyDescent="0.25">
      <c r="A6" s="12" t="s">
        <v>53</v>
      </c>
      <c r="B6" s="13">
        <f>SUM(B2:B5)</f>
        <v>230248.17000000013</v>
      </c>
      <c r="C6" s="14">
        <f>SUM(C2:C5)</f>
        <v>42397</v>
      </c>
      <c r="D6" s="14">
        <f>SUM(D2:D5)</f>
        <v>74</v>
      </c>
      <c r="E6" s="14">
        <f>SUM(E2:E5)</f>
        <v>781</v>
      </c>
      <c r="F6" s="15">
        <f>AVERAGE(F2:F5)</f>
        <v>1.8239275147928993</v>
      </c>
      <c r="G6" s="16">
        <f>SUM(G2:G5)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x14ac:dyDescent="0.25"/>
  <cols>
    <col min="1" max="1" width="32" customWidth="1"/>
    <col min="2" max="9" width="18" customWidth="1"/>
  </cols>
  <sheetData>
    <row r="1" spans="1:9" x14ac:dyDescent="0.25">
      <c r="A1" s="5" t="s">
        <v>21</v>
      </c>
      <c r="B1" s="5" t="s">
        <v>49</v>
      </c>
      <c r="C1" s="5" t="s">
        <v>3</v>
      </c>
      <c r="D1" s="5" t="s">
        <v>50</v>
      </c>
      <c r="E1" s="5" t="s">
        <v>51</v>
      </c>
      <c r="F1" s="5" t="s">
        <v>5</v>
      </c>
      <c r="G1" s="5" t="s">
        <v>54</v>
      </c>
      <c r="H1" s="5" t="s">
        <v>55</v>
      </c>
      <c r="I1" s="5" t="s">
        <v>56</v>
      </c>
    </row>
    <row r="2" spans="1:9" x14ac:dyDescent="0.25">
      <c r="A2" s="6" t="s">
        <v>39</v>
      </c>
      <c r="B2" s="7">
        <f>SUMIFS(Data!$E$2:$E$2705,Data!$B$2:$B$2705,A2)</f>
        <v>60378.600000000049</v>
      </c>
      <c r="C2" s="8">
        <f>SUMIFS(Data!$C$2:$C$2705,Data!$B$2:$B$2705,A2)</f>
        <v>5216</v>
      </c>
      <c r="D2" s="8">
        <f>COUNTIFS(Data!$B$2:$B$2705,A2,Data!$J$2:$J$2705,"Yes")</f>
        <v>1</v>
      </c>
      <c r="E2" s="8">
        <f>COUNTIFS(Data!$B$2:$B$2705,A2,Data!$I$2:$I$2705,"Yes")</f>
        <v>39</v>
      </c>
      <c r="F2" s="4">
        <f>SUMIFS(Data!$H$2:$H$2705,Data!$B$2:$B$2705,A2)/COUNTIFS(Data!$B$2:$B$2705,A2)</f>
        <v>1.3774038461538458</v>
      </c>
      <c r="G2" s="8">
        <f>SUMIFS(Data!$C$2:$C$2705,Data!$B$2:$B$2705,A2,Data!$L$2:$L$2705,2019)</f>
        <v>1065</v>
      </c>
      <c r="H2" s="8">
        <f>(SUMIFS(Data!$C$2:$C$2705,Data!$B$2:$B$2705,A2,Data!$L$2:$L$2705,2020)+SUMIFS(Data!$C$2:$C$2705,Data!$B$2:$B$2705,A2,Data!$L$2:$L$2705,2021)+SUMIFS(Data!$C$2:$C$2705,Data!$B$2:$B$2705,A2,Data!$L$2:$L$2705,2022))/3</f>
        <v>1383.6666666666667</v>
      </c>
      <c r="I2" s="9">
        <f t="shared" ref="I2:I14" si="0">IF(G2=0,"",(H2/G2)-1)</f>
        <v>0.29921752738654162</v>
      </c>
    </row>
    <row r="3" spans="1:9" x14ac:dyDescent="0.25">
      <c r="A3" s="6" t="s">
        <v>32</v>
      </c>
      <c r="B3" s="7">
        <f>SUMIFS(Data!$E$2:$E$2705,Data!$B$2:$B$2705,A3)</f>
        <v>28996.920000000013</v>
      </c>
      <c r="C3" s="8">
        <f>SUMIFS(Data!$C$2:$C$2705,Data!$B$2:$B$2705,A3)</f>
        <v>4234</v>
      </c>
      <c r="D3" s="8">
        <f>COUNTIFS(Data!$B$2:$B$2705,A3,Data!$J$2:$J$2705,"Yes")</f>
        <v>0</v>
      </c>
      <c r="E3" s="8">
        <f>COUNTIFS(Data!$B$2:$B$2705,A3,Data!$I$2:$I$2705,"Yes")</f>
        <v>7</v>
      </c>
      <c r="F3" s="4">
        <f>SUMIFS(Data!$H$2:$H$2705,Data!$B$2:$B$2705,A3)/COUNTIFS(Data!$B$2:$B$2705,A3)</f>
        <v>1.4028846153846157</v>
      </c>
      <c r="G3" s="8">
        <f>SUMIFS(Data!$C$2:$C$2705,Data!$B$2:$B$2705,A3,Data!$L$2:$L$2705,2019)</f>
        <v>984</v>
      </c>
      <c r="H3" s="8">
        <f>(SUMIFS(Data!$C$2:$C$2705,Data!$B$2:$B$2705,A3,Data!$L$2:$L$2705,2020)+SUMIFS(Data!$C$2:$C$2705,Data!$B$2:$B$2705,A3,Data!$L$2:$L$2705,2021)+SUMIFS(Data!$C$2:$C$2705,Data!$B$2:$B$2705,A3,Data!$L$2:$L$2705,2022))/3</f>
        <v>1083.3333333333333</v>
      </c>
      <c r="I3" s="9">
        <f t="shared" si="0"/>
        <v>0.10094850948509482</v>
      </c>
    </row>
    <row r="4" spans="1:9" x14ac:dyDescent="0.25">
      <c r="A4" s="6" t="s">
        <v>34</v>
      </c>
      <c r="B4" s="7">
        <f>SUMIFS(Data!$E$2:$E$2705,Data!$B$2:$B$2705,A4)</f>
        <v>25622.289999999997</v>
      </c>
      <c r="C4" s="8">
        <f>SUMIFS(Data!$C$2:$C$2705,Data!$B$2:$B$2705,A4)</f>
        <v>3592</v>
      </c>
      <c r="D4" s="8">
        <f>COUNTIFS(Data!$B$2:$B$2705,A4,Data!$J$2:$J$2705,"Yes")</f>
        <v>2</v>
      </c>
      <c r="E4" s="8">
        <f>COUNTIFS(Data!$B$2:$B$2705,A4,Data!$I$2:$I$2705,"Yes")</f>
        <v>3</v>
      </c>
      <c r="F4" s="4">
        <f>SUMIFS(Data!$H$2:$H$2705,Data!$B$2:$B$2705,A4)/COUNTIFS(Data!$B$2:$B$2705,A4)</f>
        <v>1.2831730769230769</v>
      </c>
      <c r="G4" s="8">
        <f>SUMIFS(Data!$C$2:$C$2705,Data!$B$2:$B$2705,A4,Data!$L$2:$L$2705,2019)</f>
        <v>813</v>
      </c>
      <c r="H4" s="8">
        <f>(SUMIFS(Data!$C$2:$C$2705,Data!$B$2:$B$2705,A4,Data!$L$2:$L$2705,2020)+SUMIFS(Data!$C$2:$C$2705,Data!$B$2:$B$2705,A4,Data!$L$2:$L$2705,2021)+SUMIFS(Data!$C$2:$C$2705,Data!$B$2:$B$2705,A4,Data!$L$2:$L$2705,2022))/3</f>
        <v>926.33333333333337</v>
      </c>
      <c r="I4" s="9">
        <f t="shared" si="0"/>
        <v>0.13940139401394025</v>
      </c>
    </row>
    <row r="5" spans="1:9" x14ac:dyDescent="0.25">
      <c r="A5" s="6" t="s">
        <v>38</v>
      </c>
      <c r="B5" s="7">
        <f>SUMIFS(Data!$E$2:$E$2705,Data!$B$2:$B$2705,A5)</f>
        <v>25361.019999999993</v>
      </c>
      <c r="C5" s="8">
        <f>SUMIFS(Data!$C$2:$C$2705,Data!$B$2:$B$2705,A5)</f>
        <v>2972</v>
      </c>
      <c r="D5" s="8">
        <f>COUNTIFS(Data!$B$2:$B$2705,A5,Data!$J$2:$J$2705,"Yes")</f>
        <v>2</v>
      </c>
      <c r="E5" s="8">
        <f>COUNTIFS(Data!$B$2:$B$2705,A5,Data!$I$2:$I$2705,"Yes")</f>
        <v>2</v>
      </c>
      <c r="F5" s="4">
        <f>SUMIFS(Data!$H$2:$H$2705,Data!$B$2:$B$2705,A5)/COUNTIFS(Data!$B$2:$B$2705,A5)</f>
        <v>1.370192307692307</v>
      </c>
      <c r="G5" s="8">
        <f>SUMIFS(Data!$C$2:$C$2705,Data!$B$2:$B$2705,A5,Data!$L$2:$L$2705,2019)</f>
        <v>705</v>
      </c>
      <c r="H5" s="8">
        <f>(SUMIFS(Data!$C$2:$C$2705,Data!$B$2:$B$2705,A5,Data!$L$2:$L$2705,2020)+SUMIFS(Data!$C$2:$C$2705,Data!$B$2:$B$2705,A5,Data!$L$2:$L$2705,2021)+SUMIFS(Data!$C$2:$C$2705,Data!$B$2:$B$2705,A5,Data!$L$2:$L$2705,2022))/3</f>
        <v>755.66666666666663</v>
      </c>
      <c r="I5" s="9">
        <f t="shared" si="0"/>
        <v>7.186761229314409E-2</v>
      </c>
    </row>
    <row r="6" spans="1:9" x14ac:dyDescent="0.25">
      <c r="A6" s="6" t="s">
        <v>37</v>
      </c>
      <c r="B6" s="7">
        <f>SUMIFS(Data!$E$2:$E$2705,Data!$B$2:$B$2705,A6)</f>
        <v>18894.549999999996</v>
      </c>
      <c r="C6" s="8">
        <f>SUMIFS(Data!$C$2:$C$2705,Data!$B$2:$B$2705,A6)</f>
        <v>5865</v>
      </c>
      <c r="D6" s="8">
        <f>COUNTIFS(Data!$B$2:$B$2705,A6,Data!$J$2:$J$2705,"Yes")</f>
        <v>0</v>
      </c>
      <c r="E6" s="8">
        <f>COUNTIFS(Data!$B$2:$B$2705,A6,Data!$I$2:$I$2705,"Yes")</f>
        <v>1</v>
      </c>
      <c r="F6" s="4">
        <f>SUMIFS(Data!$H$2:$H$2705,Data!$B$2:$B$2705,A6)/COUNTIFS(Data!$B$2:$B$2705,A6)</f>
        <v>1.3995192307692297</v>
      </c>
      <c r="G6" s="8">
        <f>SUMIFS(Data!$C$2:$C$2705,Data!$B$2:$B$2705,A6,Data!$L$2:$L$2705,2019)</f>
        <v>1357</v>
      </c>
      <c r="H6" s="8">
        <f>(SUMIFS(Data!$C$2:$C$2705,Data!$B$2:$B$2705,A6,Data!$L$2:$L$2705,2020)+SUMIFS(Data!$C$2:$C$2705,Data!$B$2:$B$2705,A6,Data!$L$2:$L$2705,2021)+SUMIFS(Data!$C$2:$C$2705,Data!$B$2:$B$2705,A6,Data!$L$2:$L$2705,2022))/3</f>
        <v>1502.6666666666667</v>
      </c>
      <c r="I6" s="9">
        <f t="shared" si="0"/>
        <v>0.10734463276836159</v>
      </c>
    </row>
    <row r="7" spans="1:9" x14ac:dyDescent="0.25">
      <c r="A7" s="6" t="s">
        <v>42</v>
      </c>
      <c r="B7" s="7">
        <f>SUMIFS(Data!$E$2:$E$2705,Data!$B$2:$B$2705,A7)</f>
        <v>18481.999999999996</v>
      </c>
      <c r="C7" s="8">
        <f>SUMIFS(Data!$C$2:$C$2705,Data!$B$2:$B$2705,A7)</f>
        <v>4383</v>
      </c>
      <c r="D7" s="8">
        <f>COUNTIFS(Data!$B$2:$B$2705,A7,Data!$J$2:$J$2705,"Yes")</f>
        <v>6</v>
      </c>
      <c r="E7" s="8">
        <f>COUNTIFS(Data!$B$2:$B$2705,A7,Data!$I$2:$I$2705,"Yes")</f>
        <v>122</v>
      </c>
      <c r="F7" s="4">
        <f>SUMIFS(Data!$H$2:$H$2705,Data!$B$2:$B$2705,A7)/COUNTIFS(Data!$B$2:$B$2705,A7)</f>
        <v>2.5370192307692294</v>
      </c>
      <c r="G7" s="8">
        <f>SUMIFS(Data!$C$2:$C$2705,Data!$B$2:$B$2705,A7,Data!$L$2:$L$2705,2019)</f>
        <v>417</v>
      </c>
      <c r="H7" s="8">
        <f>(SUMIFS(Data!$C$2:$C$2705,Data!$B$2:$B$2705,A7,Data!$L$2:$L$2705,2020)+SUMIFS(Data!$C$2:$C$2705,Data!$B$2:$B$2705,A7,Data!$L$2:$L$2705,2021)+SUMIFS(Data!$C$2:$C$2705,Data!$B$2:$B$2705,A7,Data!$L$2:$L$2705,2022))/3</f>
        <v>1322</v>
      </c>
      <c r="I7" s="9">
        <f t="shared" si="0"/>
        <v>2.1702637889688248</v>
      </c>
    </row>
    <row r="8" spans="1:9" x14ac:dyDescent="0.25">
      <c r="A8" s="6" t="s">
        <v>36</v>
      </c>
      <c r="B8" s="7">
        <f>SUMIFS(Data!$E$2:$E$2705,Data!$B$2:$B$2705,A8)</f>
        <v>14820.340000000009</v>
      </c>
      <c r="C8" s="8">
        <f>SUMIFS(Data!$C$2:$C$2705,Data!$B$2:$B$2705,A8)</f>
        <v>2376</v>
      </c>
      <c r="D8" s="8">
        <f>COUNTIFS(Data!$B$2:$B$2705,A8,Data!$J$2:$J$2705,"Yes")</f>
        <v>2</v>
      </c>
      <c r="E8" s="8">
        <f>COUNTIFS(Data!$B$2:$B$2705,A8,Data!$I$2:$I$2705,"Yes")</f>
        <v>1</v>
      </c>
      <c r="F8" s="4">
        <f>SUMIFS(Data!$H$2:$H$2705,Data!$B$2:$B$2705,A8)/COUNTIFS(Data!$B$2:$B$2705,A8)</f>
        <v>1.3456730769230765</v>
      </c>
      <c r="G8" s="8">
        <f>SUMIFS(Data!$C$2:$C$2705,Data!$B$2:$B$2705,A8,Data!$L$2:$L$2705,2019)</f>
        <v>543</v>
      </c>
      <c r="H8" s="8">
        <f>(SUMIFS(Data!$C$2:$C$2705,Data!$B$2:$B$2705,A8,Data!$L$2:$L$2705,2020)+SUMIFS(Data!$C$2:$C$2705,Data!$B$2:$B$2705,A8,Data!$L$2:$L$2705,2021)+SUMIFS(Data!$C$2:$C$2705,Data!$B$2:$B$2705,A8,Data!$L$2:$L$2705,2022))/3</f>
        <v>611</v>
      </c>
      <c r="I8" s="9">
        <f t="shared" si="0"/>
        <v>0.12523020257826878</v>
      </c>
    </row>
    <row r="9" spans="1:9" x14ac:dyDescent="0.25">
      <c r="A9" s="6" t="s">
        <v>35</v>
      </c>
      <c r="B9" s="7">
        <f>SUMIFS(Data!$E$2:$E$2705,Data!$B$2:$B$2705,A9)</f>
        <v>14108.310000000007</v>
      </c>
      <c r="C9" s="8">
        <f>SUMIFS(Data!$C$2:$C$2705,Data!$B$2:$B$2705,A9)</f>
        <v>2377</v>
      </c>
      <c r="D9" s="8">
        <f>COUNTIFS(Data!$B$2:$B$2705,A9,Data!$J$2:$J$2705,"Yes")</f>
        <v>2</v>
      </c>
      <c r="E9" s="8">
        <f>COUNTIFS(Data!$B$2:$B$2705,A9,Data!$I$2:$I$2705,"Yes")</f>
        <v>2</v>
      </c>
      <c r="F9" s="4">
        <f>SUMIFS(Data!$H$2:$H$2705,Data!$B$2:$B$2705,A9)/COUNTIFS(Data!$B$2:$B$2705,A9)</f>
        <v>1.4629807692307693</v>
      </c>
      <c r="G9" s="8">
        <f>SUMIFS(Data!$C$2:$C$2705,Data!$B$2:$B$2705,A9,Data!$L$2:$L$2705,2019)</f>
        <v>556</v>
      </c>
      <c r="H9" s="8">
        <f>(SUMIFS(Data!$C$2:$C$2705,Data!$B$2:$B$2705,A9,Data!$L$2:$L$2705,2020)+SUMIFS(Data!$C$2:$C$2705,Data!$B$2:$B$2705,A9,Data!$L$2:$L$2705,2021)+SUMIFS(Data!$C$2:$C$2705,Data!$B$2:$B$2705,A9,Data!$L$2:$L$2705,2022))/3</f>
        <v>607</v>
      </c>
      <c r="I9" s="9">
        <f t="shared" si="0"/>
        <v>9.1726618705036067E-2</v>
      </c>
    </row>
    <row r="10" spans="1:9" x14ac:dyDescent="0.25">
      <c r="A10" s="6" t="s">
        <v>43</v>
      </c>
      <c r="B10" s="7">
        <f>SUMIFS(Data!$E$2:$E$2705,Data!$B$2:$B$2705,A10)</f>
        <v>13925.120000000004</v>
      </c>
      <c r="C10" s="8">
        <f>SUMIFS(Data!$C$2:$C$2705,Data!$B$2:$B$2705,A10)</f>
        <v>2519</v>
      </c>
      <c r="D10" s="8">
        <f>COUNTIFS(Data!$B$2:$B$2705,A10,Data!$J$2:$J$2705,"Yes")</f>
        <v>17</v>
      </c>
      <c r="E10" s="8">
        <f>COUNTIFS(Data!$B$2:$B$2705,A10,Data!$I$2:$I$2705,"Yes")</f>
        <v>122</v>
      </c>
      <c r="F10" s="4">
        <f>SUMIFS(Data!$H$2:$H$2705,Data!$B$2:$B$2705,A10)/COUNTIFS(Data!$B$2:$B$2705,A10)</f>
        <v>2.4086538461538458</v>
      </c>
      <c r="G10" s="8">
        <f>SUMIFS(Data!$C$2:$C$2705,Data!$B$2:$B$2705,A10,Data!$L$2:$L$2705,2019)</f>
        <v>257</v>
      </c>
      <c r="H10" s="8">
        <f>(SUMIFS(Data!$C$2:$C$2705,Data!$B$2:$B$2705,A10,Data!$L$2:$L$2705,2020)+SUMIFS(Data!$C$2:$C$2705,Data!$B$2:$B$2705,A10,Data!$L$2:$L$2705,2021)+SUMIFS(Data!$C$2:$C$2705,Data!$B$2:$B$2705,A10,Data!$L$2:$L$2705,2022))/3</f>
        <v>754</v>
      </c>
      <c r="I10" s="9">
        <f t="shared" si="0"/>
        <v>1.9338521400778208</v>
      </c>
    </row>
    <row r="11" spans="1:9" x14ac:dyDescent="0.25">
      <c r="A11" s="6" t="s">
        <v>41</v>
      </c>
      <c r="B11" s="7">
        <f>SUMIFS(Data!$E$2:$E$2705,Data!$B$2:$B$2705,A11)</f>
        <v>4657.76</v>
      </c>
      <c r="C11" s="8">
        <f>SUMIFS(Data!$C$2:$C$2705,Data!$B$2:$B$2705,A11)</f>
        <v>3434</v>
      </c>
      <c r="D11" s="8">
        <f>COUNTIFS(Data!$B$2:$B$2705,A11,Data!$J$2:$J$2705,"Yes")</f>
        <v>8</v>
      </c>
      <c r="E11" s="8">
        <f>COUNTIFS(Data!$B$2:$B$2705,A11,Data!$I$2:$I$2705,"Yes")</f>
        <v>122</v>
      </c>
      <c r="F11" s="4">
        <f>SUMIFS(Data!$H$2:$H$2705,Data!$B$2:$B$2705,A11)/COUNTIFS(Data!$B$2:$B$2705,A11)</f>
        <v>2.664423076923077</v>
      </c>
      <c r="G11" s="8">
        <f>SUMIFS(Data!$C$2:$C$2705,Data!$B$2:$B$2705,A11,Data!$L$2:$L$2705,2019)</f>
        <v>354</v>
      </c>
      <c r="H11" s="8">
        <f>(SUMIFS(Data!$C$2:$C$2705,Data!$B$2:$B$2705,A11,Data!$L$2:$L$2705,2020)+SUMIFS(Data!$C$2:$C$2705,Data!$B$2:$B$2705,A11,Data!$L$2:$L$2705,2021)+SUMIFS(Data!$C$2:$C$2705,Data!$B$2:$B$2705,A11,Data!$L$2:$L$2705,2022))/3</f>
        <v>1026.6666666666667</v>
      </c>
      <c r="I11" s="9">
        <f t="shared" si="0"/>
        <v>1.9001883239171375</v>
      </c>
    </row>
    <row r="12" spans="1:9" x14ac:dyDescent="0.25">
      <c r="A12" s="6" t="s">
        <v>40</v>
      </c>
      <c r="B12" s="7">
        <f>SUMIFS(Data!$E$2:$E$2705,Data!$B$2:$B$2705,A12)</f>
        <v>3442.2999999999984</v>
      </c>
      <c r="C12" s="8">
        <f>SUMIFS(Data!$C$2:$C$2705,Data!$B$2:$B$2705,A12)</f>
        <v>5277</v>
      </c>
      <c r="D12" s="8">
        <f>COUNTIFS(Data!$B$2:$B$2705,A12,Data!$J$2:$J$2705,"Yes")</f>
        <v>4</v>
      </c>
      <c r="E12" s="8">
        <f>COUNTIFS(Data!$B$2:$B$2705,A12,Data!$I$2:$I$2705,"Yes")</f>
        <v>122</v>
      </c>
      <c r="F12" s="4">
        <f>SUMIFS(Data!$H$2:$H$2705,Data!$B$2:$B$2705,A12)/COUNTIFS(Data!$B$2:$B$2705,A12)</f>
        <v>2.4802884615384619</v>
      </c>
      <c r="G12" s="8">
        <f>SUMIFS(Data!$C$2:$C$2705,Data!$B$2:$B$2705,A12,Data!$L$2:$L$2705,2019)</f>
        <v>513</v>
      </c>
      <c r="H12" s="8">
        <f>(SUMIFS(Data!$C$2:$C$2705,Data!$B$2:$B$2705,A12,Data!$L$2:$L$2705,2020)+SUMIFS(Data!$C$2:$C$2705,Data!$B$2:$B$2705,A12,Data!$L$2:$L$2705,2021)+SUMIFS(Data!$C$2:$C$2705,Data!$B$2:$B$2705,A12,Data!$L$2:$L$2705,2022))/3</f>
        <v>1588</v>
      </c>
      <c r="I12" s="9">
        <f t="shared" si="0"/>
        <v>2.0955165692007798</v>
      </c>
    </row>
    <row r="13" spans="1:9" x14ac:dyDescent="0.25">
      <c r="A13" s="6" t="s">
        <v>45</v>
      </c>
      <c r="B13" s="7">
        <f>SUMIFS(Data!$E$2:$E$2705,Data!$B$2:$B$2705,A13)</f>
        <v>1215.6099999999997</v>
      </c>
      <c r="C13" s="8">
        <f>SUMIFS(Data!$C$2:$C$2705,Data!$B$2:$B$2705,A13)</f>
        <v>81</v>
      </c>
      <c r="D13" s="8">
        <f>COUNTIFS(Data!$B$2:$B$2705,A13,Data!$J$2:$J$2705,"Yes")</f>
        <v>6</v>
      </c>
      <c r="E13" s="8">
        <f>COUNTIFS(Data!$B$2:$B$2705,A13,Data!$I$2:$I$2705,"Yes")</f>
        <v>125</v>
      </c>
      <c r="F13" s="4">
        <f>SUMIFS(Data!$H$2:$H$2705,Data!$B$2:$B$2705,A13)/COUNTIFS(Data!$B$2:$B$2705,A13)</f>
        <v>2.0163461538461536</v>
      </c>
      <c r="G13" s="8">
        <f>SUMIFS(Data!$C$2:$C$2705,Data!$B$2:$B$2705,A13,Data!$L$2:$L$2705,2019)</f>
        <v>16</v>
      </c>
      <c r="H13" s="8">
        <f>(SUMIFS(Data!$C$2:$C$2705,Data!$B$2:$B$2705,A13,Data!$L$2:$L$2705,2020)+SUMIFS(Data!$C$2:$C$2705,Data!$B$2:$B$2705,A13,Data!$L$2:$L$2705,2021)+SUMIFS(Data!$C$2:$C$2705,Data!$B$2:$B$2705,A13,Data!$L$2:$L$2705,2022))/3</f>
        <v>21.666666666666668</v>
      </c>
      <c r="I13" s="9">
        <f t="shared" si="0"/>
        <v>0.35416666666666674</v>
      </c>
    </row>
    <row r="14" spans="1:9" x14ac:dyDescent="0.25">
      <c r="A14" s="6" t="s">
        <v>44</v>
      </c>
      <c r="B14" s="7">
        <f>SUMIFS(Data!$E$2:$E$2705,Data!$B$2:$B$2705,A14)</f>
        <v>343.35000000000008</v>
      </c>
      <c r="C14" s="8">
        <f>SUMIFS(Data!$C$2:$C$2705,Data!$B$2:$B$2705,A14)</f>
        <v>71</v>
      </c>
      <c r="D14" s="8">
        <f>COUNTIFS(Data!$B$2:$B$2705,A14,Data!$J$2:$J$2705,"Yes")</f>
        <v>24</v>
      </c>
      <c r="E14" s="8">
        <f>COUNTIFS(Data!$B$2:$B$2705,A14,Data!$I$2:$I$2705,"Yes")</f>
        <v>113</v>
      </c>
      <c r="F14" s="4">
        <f>SUMIFS(Data!$H$2:$H$2705,Data!$B$2:$B$2705,A14)/COUNTIFS(Data!$B$2:$B$2705,A14)</f>
        <v>1.9625000000000008</v>
      </c>
      <c r="G14" s="8">
        <f>SUMIFS(Data!$C$2:$C$2705,Data!$B$2:$B$2705,A14,Data!$L$2:$L$2705,2019)</f>
        <v>13</v>
      </c>
      <c r="H14" s="8">
        <f>(SUMIFS(Data!$C$2:$C$2705,Data!$B$2:$B$2705,A14,Data!$L$2:$L$2705,2020)+SUMIFS(Data!$C$2:$C$2705,Data!$B$2:$B$2705,A14,Data!$L$2:$L$2705,2021)+SUMIFS(Data!$C$2:$C$2705,Data!$B$2:$B$2705,A14,Data!$L$2:$L$2705,2022))/3</f>
        <v>19.333333333333332</v>
      </c>
      <c r="I14" s="9">
        <f t="shared" si="0"/>
        <v>0.487179487179487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5" x14ac:dyDescent="0.25"/>
  <cols>
    <col min="1" max="1" width="28" customWidth="1"/>
    <col min="2" max="3" width="58" customWidth="1"/>
  </cols>
  <sheetData>
    <row r="1" spans="1:3" x14ac:dyDescent="0.25">
      <c r="A1" s="10" t="s">
        <v>57</v>
      </c>
      <c r="B1" s="10" t="s">
        <v>58</v>
      </c>
      <c r="C1" s="10" t="s">
        <v>59</v>
      </c>
    </row>
    <row r="2" spans="1:3" ht="30" x14ac:dyDescent="0.25">
      <c r="A2" s="11" t="s">
        <v>60</v>
      </c>
      <c r="B2" s="11" t="s">
        <v>61</v>
      </c>
      <c r="C2" s="11" t="s">
        <v>62</v>
      </c>
    </row>
    <row r="3" spans="1:3" ht="30" x14ac:dyDescent="0.25">
      <c r="A3" s="11" t="s">
        <v>63</v>
      </c>
      <c r="B3" s="11" t="s">
        <v>64</v>
      </c>
      <c r="C3" s="11" t="s">
        <v>65</v>
      </c>
    </row>
    <row r="4" spans="1:3" ht="30" x14ac:dyDescent="0.25">
      <c r="A4" s="11" t="s">
        <v>66</v>
      </c>
      <c r="B4" s="11" t="s">
        <v>67</v>
      </c>
      <c r="C4" s="11" t="s">
        <v>68</v>
      </c>
    </row>
    <row r="5" spans="1:3" x14ac:dyDescent="0.25">
      <c r="A5" s="11" t="s">
        <v>69</v>
      </c>
      <c r="B5" s="11" t="s">
        <v>70</v>
      </c>
      <c r="C5" s="11" t="s">
        <v>71</v>
      </c>
    </row>
    <row r="6" spans="1:3" ht="30" x14ac:dyDescent="0.25">
      <c r="A6" s="11" t="s">
        <v>72</v>
      </c>
      <c r="B6" s="11" t="s">
        <v>73</v>
      </c>
      <c r="C6" s="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Dashboard</vt:lpstr>
      <vt:lpstr>Yearly Summary</vt:lpstr>
      <vt:lpstr>Category Summary</vt:lpstr>
      <vt:lpstr>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2026-06-07T06:43:20Z</dcterms:modified>
</cp:coreProperties>
</file>